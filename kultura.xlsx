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CE1A54C0-301F-4C08-BCE1-230A9673CCB1}" xr6:coauthVersionLast="36" xr6:coauthVersionMax="36" xr10:uidLastSave="{00000000-0000-0000-0000-000000000000}"/>
  <bookViews>
    <workbookView xWindow="0" yWindow="0" windowWidth="19200" windowHeight="11265" xr2:uid="{2391A091-E03E-4C9D-B5C7-F24203F84648}"/>
  </bookViews>
  <sheets>
    <sheet name="Munka1" sheetId="1" r:id="rId1"/>
    <sheet name="Munk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2" i="1" l="1"/>
  <c r="B62" i="1"/>
  <c r="C61" i="1"/>
  <c r="B61" i="1"/>
  <c r="B56" i="1"/>
  <c r="B54" i="1" l="1"/>
  <c r="B52" i="1"/>
  <c r="B50" i="1"/>
  <c r="B48" i="1"/>
  <c r="B46" i="1"/>
</calcChain>
</file>

<file path=xl/sharedStrings.xml><?xml version="1.0" encoding="utf-8"?>
<sst xmlns="http://schemas.openxmlformats.org/spreadsheetml/2006/main" count="145" uniqueCount="59">
  <si>
    <t>Név</t>
  </si>
  <si>
    <t>Osztály</t>
  </si>
  <si>
    <t>Színház</t>
  </si>
  <si>
    <t>Mozi</t>
  </si>
  <si>
    <t>Napilap</t>
  </si>
  <si>
    <t>Könyv oldalszám</t>
  </si>
  <si>
    <t>Albert Gyula</t>
  </si>
  <si>
    <t>B</t>
  </si>
  <si>
    <t>Nem</t>
  </si>
  <si>
    <t>Bacsó Gabriella</t>
  </si>
  <si>
    <t>A</t>
  </si>
  <si>
    <t>Bán Béla</t>
  </si>
  <si>
    <t>Igen</t>
  </si>
  <si>
    <t>Birkás Lajos</t>
  </si>
  <si>
    <t>Csángó Pál</t>
  </si>
  <si>
    <t>Csontos Károly</t>
  </si>
  <si>
    <t>Dénes László</t>
  </si>
  <si>
    <t>Dobó Ernő</t>
  </si>
  <si>
    <t>Érsek Márta</t>
  </si>
  <si>
    <t>Farádi Anikó</t>
  </si>
  <si>
    <t>Gál Ádám</t>
  </si>
  <si>
    <t>Hegedűs Zoltán</t>
  </si>
  <si>
    <t>Illés Miklós</t>
  </si>
  <si>
    <t>Jakab Ágnes</t>
  </si>
  <si>
    <t>Káli Lajos</t>
  </si>
  <si>
    <t>Kocsis Judit</t>
  </si>
  <si>
    <t>Kósa Gyula</t>
  </si>
  <si>
    <t>Kovács Rita</t>
  </si>
  <si>
    <t>Kozma Kálmán</t>
  </si>
  <si>
    <t>Lakatos Réka</t>
  </si>
  <si>
    <t>Lázár Tamás</t>
  </si>
  <si>
    <t>Lengyel Mihály</t>
  </si>
  <si>
    <t>Madarász Emil</t>
  </si>
  <si>
    <t>Máté Margit</t>
  </si>
  <si>
    <t>Mécses Zsófia</t>
  </si>
  <si>
    <t>Molnár Dorottya</t>
  </si>
  <si>
    <t>Nagy Zsuzsa</t>
  </si>
  <si>
    <t>Pál Beáta</t>
  </si>
  <si>
    <t>Pásztor Mihály</t>
  </si>
  <si>
    <t>Pataky József</t>
  </si>
  <si>
    <t>Rácz Mária</t>
  </si>
  <si>
    <t>Rózsa Róbert</t>
  </si>
  <si>
    <t>Sas Ignácz</t>
  </si>
  <si>
    <t>Simon Simon</t>
  </si>
  <si>
    <t>Sós Miklós</t>
  </si>
  <si>
    <t>Szabó Mária</t>
  </si>
  <si>
    <t>Szűcs György</t>
  </si>
  <si>
    <t>Tatai Márk</t>
  </si>
  <si>
    <t>Tóbiás Krisztina</t>
  </si>
  <si>
    <t>Tóth János</t>
  </si>
  <si>
    <t>Varga István</t>
  </si>
  <si>
    <t>Vígh Éva</t>
  </si>
  <si>
    <t>Színház:</t>
  </si>
  <si>
    <t>Mozi:</t>
  </si>
  <si>
    <t>Napilapolvasók száma:</t>
  </si>
  <si>
    <t>Átlagos oldalszám:</t>
  </si>
  <si>
    <t>Átlagos oldalszám (napilapos):</t>
  </si>
  <si>
    <t>Legtöbbet olvasott:</t>
  </si>
  <si>
    <t>Jutalom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</si>
</sst>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A362-3289-4CA2-8616-0AE7B8185170}">
  <dimension ref="A1:G62"/>
  <sheetViews>
    <sheetView tabSelected="1" zoomScale="115" zoomScaleNormal="115" workbookViewId="0">
      <selection activeCell="G10" sqref="G10"/>
    </sheetView>
  </sheetViews>
  <sheetFormatPr defaultRowHeight="15" x14ac:dyDescent="0.25"/>
  <cols>
    <col min="1" max="1" width="28.42578125" bestFit="1" customWidth="1"/>
    <col min="2" max="2" width="12.140625" customWidth="1"/>
    <col min="3" max="3" width="11.42578125" customWidth="1"/>
    <col min="4" max="4" width="10.140625" customWidth="1"/>
    <col min="5" max="5" width="12.85546875" customWidth="1"/>
    <col min="6" max="6" width="15.140625" customWidth="1"/>
    <col min="7" max="7" width="11.85546875" customWidth="1"/>
  </cols>
  <sheetData>
    <row r="1" spans="1:7" ht="30" customHeight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58</v>
      </c>
    </row>
    <row r="2" spans="1:7" ht="15.75" thickTop="1" x14ac:dyDescent="0.25">
      <c r="A2" t="s">
        <v>6</v>
      </c>
      <c r="B2" t="s">
        <v>7</v>
      </c>
      <c r="C2">
        <v>3</v>
      </c>
      <c r="D2">
        <v>2</v>
      </c>
      <c r="E2" t="s">
        <v>8</v>
      </c>
      <c r="F2">
        <v>102</v>
      </c>
    </row>
    <row r="3" spans="1:7" x14ac:dyDescent="0.25">
      <c r="A3" t="s">
        <v>9</v>
      </c>
      <c r="B3" t="s">
        <v>10</v>
      </c>
      <c r="C3">
        <v>2</v>
      </c>
      <c r="D3">
        <v>2</v>
      </c>
      <c r="E3" t="s">
        <v>8</v>
      </c>
      <c r="F3">
        <v>140</v>
      </c>
    </row>
    <row r="4" spans="1:7" x14ac:dyDescent="0.25">
      <c r="A4" t="s">
        <v>11</v>
      </c>
      <c r="B4" t="s">
        <v>7</v>
      </c>
      <c r="C4">
        <v>4</v>
      </c>
      <c r="D4">
        <v>1</v>
      </c>
      <c r="E4" t="s">
        <v>12</v>
      </c>
      <c r="F4">
        <v>1489</v>
      </c>
    </row>
    <row r="5" spans="1:7" x14ac:dyDescent="0.25">
      <c r="A5" t="s">
        <v>13</v>
      </c>
      <c r="B5" t="s">
        <v>10</v>
      </c>
      <c r="C5">
        <v>2</v>
      </c>
      <c r="D5">
        <v>0</v>
      </c>
      <c r="E5" t="s">
        <v>8</v>
      </c>
      <c r="F5">
        <v>725</v>
      </c>
    </row>
    <row r="6" spans="1:7" x14ac:dyDescent="0.25">
      <c r="A6" t="s">
        <v>14</v>
      </c>
      <c r="B6" t="s">
        <v>10</v>
      </c>
      <c r="C6">
        <v>1</v>
      </c>
      <c r="D6">
        <v>0</v>
      </c>
      <c r="E6" t="s">
        <v>12</v>
      </c>
      <c r="F6">
        <v>2023</v>
      </c>
    </row>
    <row r="7" spans="1:7" x14ac:dyDescent="0.25">
      <c r="A7" t="s">
        <v>15</v>
      </c>
      <c r="B7" t="s">
        <v>10</v>
      </c>
      <c r="C7">
        <v>1</v>
      </c>
      <c r="D7">
        <v>1</v>
      </c>
      <c r="E7" t="s">
        <v>8</v>
      </c>
      <c r="F7">
        <v>211</v>
      </c>
    </row>
    <row r="8" spans="1:7" x14ac:dyDescent="0.25">
      <c r="A8" t="s">
        <v>16</v>
      </c>
      <c r="B8" t="s">
        <v>10</v>
      </c>
      <c r="C8">
        <v>3</v>
      </c>
      <c r="D8">
        <v>1</v>
      </c>
      <c r="E8" t="s">
        <v>12</v>
      </c>
      <c r="F8">
        <v>706</v>
      </c>
    </row>
    <row r="9" spans="1:7" x14ac:dyDescent="0.25">
      <c r="A9" t="s">
        <v>17</v>
      </c>
      <c r="B9" t="s">
        <v>10</v>
      </c>
      <c r="C9">
        <v>0</v>
      </c>
      <c r="D9">
        <v>5</v>
      </c>
      <c r="E9" t="s">
        <v>12</v>
      </c>
      <c r="F9">
        <v>1025</v>
      </c>
    </row>
    <row r="10" spans="1:7" x14ac:dyDescent="0.25">
      <c r="A10" t="s">
        <v>18</v>
      </c>
      <c r="B10" t="s">
        <v>7</v>
      </c>
      <c r="C10">
        <v>2</v>
      </c>
      <c r="D10">
        <v>1</v>
      </c>
      <c r="E10" t="s">
        <v>12</v>
      </c>
      <c r="F10">
        <v>1188</v>
      </c>
    </row>
    <row r="11" spans="1:7" x14ac:dyDescent="0.25">
      <c r="A11" t="s">
        <v>19</v>
      </c>
      <c r="B11" t="s">
        <v>10</v>
      </c>
      <c r="C11">
        <v>2</v>
      </c>
      <c r="D11">
        <v>0</v>
      </c>
      <c r="E11" t="s">
        <v>8</v>
      </c>
      <c r="F11">
        <v>152</v>
      </c>
    </row>
    <row r="12" spans="1:7" x14ac:dyDescent="0.25">
      <c r="A12" t="s">
        <v>20</v>
      </c>
      <c r="B12" t="s">
        <v>10</v>
      </c>
      <c r="C12">
        <v>2</v>
      </c>
      <c r="D12">
        <v>5</v>
      </c>
      <c r="E12" t="s">
        <v>8</v>
      </c>
      <c r="F12">
        <v>569</v>
      </c>
    </row>
    <row r="13" spans="1:7" x14ac:dyDescent="0.25">
      <c r="A13" t="s">
        <v>21</v>
      </c>
      <c r="B13" t="s">
        <v>7</v>
      </c>
      <c r="C13">
        <v>0</v>
      </c>
      <c r="D13">
        <v>5</v>
      </c>
      <c r="E13" t="s">
        <v>8</v>
      </c>
      <c r="F13">
        <v>787</v>
      </c>
    </row>
    <row r="14" spans="1:7" x14ac:dyDescent="0.25">
      <c r="A14" t="s">
        <v>22</v>
      </c>
      <c r="B14" t="s">
        <v>10</v>
      </c>
      <c r="C14">
        <v>2</v>
      </c>
      <c r="D14">
        <v>2</v>
      </c>
      <c r="E14" t="s">
        <v>8</v>
      </c>
      <c r="F14">
        <v>635</v>
      </c>
    </row>
    <row r="15" spans="1:7" x14ac:dyDescent="0.25">
      <c r="A15" t="s">
        <v>23</v>
      </c>
      <c r="B15" t="s">
        <v>7</v>
      </c>
      <c r="C15">
        <v>4</v>
      </c>
      <c r="D15">
        <v>1</v>
      </c>
      <c r="E15" t="s">
        <v>8</v>
      </c>
      <c r="F15">
        <v>1019</v>
      </c>
    </row>
    <row r="16" spans="1:7" x14ac:dyDescent="0.25">
      <c r="A16" t="s">
        <v>24</v>
      </c>
      <c r="B16" t="s">
        <v>7</v>
      </c>
      <c r="C16">
        <v>3</v>
      </c>
      <c r="D16">
        <v>0</v>
      </c>
      <c r="E16" t="s">
        <v>8</v>
      </c>
      <c r="F16">
        <v>719</v>
      </c>
    </row>
    <row r="17" spans="1:6" x14ac:dyDescent="0.25">
      <c r="A17" t="s">
        <v>25</v>
      </c>
      <c r="B17" t="s">
        <v>10</v>
      </c>
      <c r="C17">
        <v>3</v>
      </c>
      <c r="D17">
        <v>0</v>
      </c>
      <c r="E17" t="s">
        <v>12</v>
      </c>
      <c r="F17">
        <v>1323</v>
      </c>
    </row>
    <row r="18" spans="1:6" x14ac:dyDescent="0.25">
      <c r="A18" t="s">
        <v>26</v>
      </c>
      <c r="B18" t="s">
        <v>7</v>
      </c>
      <c r="C18">
        <v>5</v>
      </c>
      <c r="D18">
        <v>0</v>
      </c>
      <c r="E18" t="s">
        <v>8</v>
      </c>
      <c r="F18">
        <v>478</v>
      </c>
    </row>
    <row r="19" spans="1:6" x14ac:dyDescent="0.25">
      <c r="A19" t="s">
        <v>27</v>
      </c>
      <c r="B19" t="s">
        <v>10</v>
      </c>
      <c r="C19">
        <v>0</v>
      </c>
      <c r="D19">
        <v>3</v>
      </c>
      <c r="E19" t="s">
        <v>8</v>
      </c>
      <c r="F19">
        <v>1127</v>
      </c>
    </row>
    <row r="20" spans="1:6" x14ac:dyDescent="0.25">
      <c r="A20" t="s">
        <v>28</v>
      </c>
      <c r="B20" t="s">
        <v>7</v>
      </c>
      <c r="C20">
        <v>1</v>
      </c>
      <c r="D20">
        <v>1</v>
      </c>
      <c r="E20" t="s">
        <v>8</v>
      </c>
      <c r="F20">
        <v>485</v>
      </c>
    </row>
    <row r="21" spans="1:6" x14ac:dyDescent="0.25">
      <c r="A21" t="s">
        <v>29</v>
      </c>
      <c r="B21" t="s">
        <v>7</v>
      </c>
      <c r="C21">
        <v>1</v>
      </c>
      <c r="D21">
        <v>3</v>
      </c>
      <c r="E21" t="s">
        <v>8</v>
      </c>
      <c r="F21">
        <v>31</v>
      </c>
    </row>
    <row r="22" spans="1:6" x14ac:dyDescent="0.25">
      <c r="A22" t="s">
        <v>30</v>
      </c>
      <c r="B22" t="s">
        <v>10</v>
      </c>
      <c r="C22">
        <v>0</v>
      </c>
      <c r="D22">
        <v>4</v>
      </c>
      <c r="E22" t="s">
        <v>12</v>
      </c>
      <c r="F22">
        <v>57</v>
      </c>
    </row>
    <row r="23" spans="1:6" x14ac:dyDescent="0.25">
      <c r="A23" t="s">
        <v>31</v>
      </c>
      <c r="B23" t="s">
        <v>10</v>
      </c>
      <c r="C23">
        <v>3</v>
      </c>
      <c r="D23">
        <v>1</v>
      </c>
      <c r="E23" t="s">
        <v>8</v>
      </c>
      <c r="F23">
        <v>464</v>
      </c>
    </row>
    <row r="24" spans="1:6" x14ac:dyDescent="0.25">
      <c r="A24" t="s">
        <v>32</v>
      </c>
      <c r="B24" t="s">
        <v>7</v>
      </c>
      <c r="C24">
        <v>1</v>
      </c>
      <c r="D24">
        <v>2</v>
      </c>
      <c r="E24" t="s">
        <v>12</v>
      </c>
      <c r="F24">
        <v>1185</v>
      </c>
    </row>
    <row r="25" spans="1:6" x14ac:dyDescent="0.25">
      <c r="A25" t="s">
        <v>33</v>
      </c>
      <c r="B25" t="s">
        <v>7</v>
      </c>
      <c r="C25">
        <v>1</v>
      </c>
      <c r="D25">
        <v>1</v>
      </c>
      <c r="E25" t="s">
        <v>12</v>
      </c>
      <c r="F25">
        <v>1027</v>
      </c>
    </row>
    <row r="26" spans="1:6" x14ac:dyDescent="0.25">
      <c r="A26" t="s">
        <v>34</v>
      </c>
      <c r="B26" t="s">
        <v>10</v>
      </c>
      <c r="C26">
        <v>2</v>
      </c>
      <c r="D26">
        <v>5</v>
      </c>
      <c r="E26" t="s">
        <v>8</v>
      </c>
      <c r="F26">
        <v>548</v>
      </c>
    </row>
    <row r="27" spans="1:6" x14ac:dyDescent="0.25">
      <c r="A27" t="s">
        <v>35</v>
      </c>
      <c r="B27" t="s">
        <v>10</v>
      </c>
      <c r="C27">
        <v>1</v>
      </c>
      <c r="D27">
        <v>0</v>
      </c>
      <c r="E27" t="s">
        <v>8</v>
      </c>
      <c r="F27">
        <v>605</v>
      </c>
    </row>
    <row r="28" spans="1:6" x14ac:dyDescent="0.25">
      <c r="A28" t="s">
        <v>36</v>
      </c>
      <c r="B28" t="s">
        <v>10</v>
      </c>
      <c r="C28">
        <v>0</v>
      </c>
      <c r="D28">
        <v>4</v>
      </c>
      <c r="E28" t="s">
        <v>8</v>
      </c>
      <c r="F28">
        <v>745</v>
      </c>
    </row>
    <row r="29" spans="1:6" x14ac:dyDescent="0.25">
      <c r="A29" t="s">
        <v>37</v>
      </c>
      <c r="B29" t="s">
        <v>7</v>
      </c>
      <c r="C29">
        <v>1</v>
      </c>
      <c r="D29">
        <v>1</v>
      </c>
      <c r="E29" t="s">
        <v>8</v>
      </c>
      <c r="F29">
        <v>113</v>
      </c>
    </row>
    <row r="30" spans="1:6" x14ac:dyDescent="0.25">
      <c r="A30" t="s">
        <v>38</v>
      </c>
      <c r="B30" t="s">
        <v>7</v>
      </c>
      <c r="C30">
        <v>2</v>
      </c>
      <c r="D30">
        <v>0</v>
      </c>
      <c r="E30" t="s">
        <v>8</v>
      </c>
      <c r="F30">
        <v>455</v>
      </c>
    </row>
    <row r="31" spans="1:6" x14ac:dyDescent="0.25">
      <c r="A31" t="s">
        <v>39</v>
      </c>
      <c r="B31" t="s">
        <v>10</v>
      </c>
      <c r="C31">
        <v>1</v>
      </c>
      <c r="D31">
        <v>1</v>
      </c>
      <c r="E31" t="s">
        <v>8</v>
      </c>
      <c r="F31">
        <v>768</v>
      </c>
    </row>
    <row r="32" spans="1:6" x14ac:dyDescent="0.25">
      <c r="A32" t="s">
        <v>40</v>
      </c>
      <c r="B32" t="s">
        <v>10</v>
      </c>
      <c r="C32">
        <v>0</v>
      </c>
      <c r="D32">
        <v>4</v>
      </c>
      <c r="E32" t="s">
        <v>8</v>
      </c>
      <c r="F32">
        <v>544</v>
      </c>
    </row>
    <row r="33" spans="1:6" x14ac:dyDescent="0.25">
      <c r="A33" t="s">
        <v>41</v>
      </c>
      <c r="B33" t="s">
        <v>7</v>
      </c>
      <c r="C33">
        <v>3</v>
      </c>
      <c r="D33">
        <v>0</v>
      </c>
      <c r="E33" t="s">
        <v>8</v>
      </c>
      <c r="F33">
        <v>224</v>
      </c>
    </row>
    <row r="34" spans="1:6" x14ac:dyDescent="0.25">
      <c r="A34" t="s">
        <v>42</v>
      </c>
      <c r="B34" t="s">
        <v>7</v>
      </c>
      <c r="C34">
        <v>1</v>
      </c>
      <c r="D34">
        <v>0</v>
      </c>
      <c r="E34" t="s">
        <v>12</v>
      </c>
      <c r="F34">
        <v>1140</v>
      </c>
    </row>
    <row r="35" spans="1:6" x14ac:dyDescent="0.25">
      <c r="A35" t="s">
        <v>43</v>
      </c>
      <c r="B35" t="s">
        <v>7</v>
      </c>
      <c r="C35">
        <v>0</v>
      </c>
      <c r="D35">
        <v>2</v>
      </c>
      <c r="E35" t="s">
        <v>8</v>
      </c>
      <c r="F35">
        <v>438</v>
      </c>
    </row>
    <row r="36" spans="1:6" x14ac:dyDescent="0.25">
      <c r="A36" t="s">
        <v>44</v>
      </c>
      <c r="B36" t="s">
        <v>10</v>
      </c>
      <c r="C36">
        <v>1</v>
      </c>
      <c r="D36">
        <v>3</v>
      </c>
      <c r="E36" t="s">
        <v>8</v>
      </c>
      <c r="F36">
        <v>1062</v>
      </c>
    </row>
    <row r="37" spans="1:6" x14ac:dyDescent="0.25">
      <c r="A37" t="s">
        <v>45</v>
      </c>
      <c r="B37" t="s">
        <v>7</v>
      </c>
      <c r="C37">
        <v>5</v>
      </c>
      <c r="D37">
        <v>0</v>
      </c>
      <c r="E37" t="s">
        <v>8</v>
      </c>
      <c r="F37">
        <v>577</v>
      </c>
    </row>
    <row r="38" spans="1:6" x14ac:dyDescent="0.25">
      <c r="A38" t="s">
        <v>46</v>
      </c>
      <c r="B38" t="s">
        <v>7</v>
      </c>
      <c r="C38">
        <v>0</v>
      </c>
      <c r="D38">
        <v>1</v>
      </c>
      <c r="E38" t="s">
        <v>8</v>
      </c>
      <c r="F38">
        <v>606</v>
      </c>
    </row>
    <row r="39" spans="1:6" x14ac:dyDescent="0.25">
      <c r="A39" t="s">
        <v>47</v>
      </c>
      <c r="B39" t="s">
        <v>7</v>
      </c>
      <c r="C39">
        <v>3</v>
      </c>
      <c r="D39">
        <v>3</v>
      </c>
      <c r="E39" t="s">
        <v>8</v>
      </c>
      <c r="F39">
        <v>382</v>
      </c>
    </row>
    <row r="40" spans="1:6" x14ac:dyDescent="0.25">
      <c r="A40" t="s">
        <v>48</v>
      </c>
      <c r="B40" t="s">
        <v>7</v>
      </c>
      <c r="C40">
        <v>2</v>
      </c>
      <c r="D40">
        <v>2</v>
      </c>
      <c r="E40" t="s">
        <v>8</v>
      </c>
      <c r="F40">
        <v>651</v>
      </c>
    </row>
    <row r="41" spans="1:6" x14ac:dyDescent="0.25">
      <c r="A41" t="s">
        <v>49</v>
      </c>
      <c r="B41" t="s">
        <v>7</v>
      </c>
      <c r="C41">
        <v>0</v>
      </c>
      <c r="D41">
        <v>0</v>
      </c>
      <c r="E41" t="s">
        <v>8</v>
      </c>
      <c r="F41">
        <v>930</v>
      </c>
    </row>
    <row r="42" spans="1:6" x14ac:dyDescent="0.25">
      <c r="A42" t="s">
        <v>50</v>
      </c>
      <c r="B42" t="s">
        <v>10</v>
      </c>
      <c r="C42">
        <v>3</v>
      </c>
      <c r="D42">
        <v>2</v>
      </c>
      <c r="E42" t="s">
        <v>12</v>
      </c>
      <c r="F42">
        <v>1222</v>
      </c>
    </row>
    <row r="43" spans="1:6" x14ac:dyDescent="0.25">
      <c r="A43" t="s">
        <v>51</v>
      </c>
      <c r="B43" t="s">
        <v>10</v>
      </c>
      <c r="C43">
        <v>4</v>
      </c>
      <c r="D43">
        <v>0</v>
      </c>
      <c r="E43" t="s">
        <v>8</v>
      </c>
      <c r="F43">
        <v>689</v>
      </c>
    </row>
    <row r="46" spans="1:6" x14ac:dyDescent="0.25">
      <c r="A46" t="s">
        <v>52</v>
      </c>
      <c r="B46">
        <f>SUM(C2:C43)</f>
        <v>75</v>
      </c>
    </row>
    <row r="48" spans="1:6" x14ac:dyDescent="0.25">
      <c r="A48" t="s">
        <v>53</v>
      </c>
      <c r="B48">
        <f>SUM(D2:D43)</f>
        <v>69</v>
      </c>
    </row>
    <row r="50" spans="1:3" x14ac:dyDescent="0.25">
      <c r="A50" t="s">
        <v>54</v>
      </c>
      <c r="B50">
        <f>COUNTIF(E2:E43,"Igen")</f>
        <v>11</v>
      </c>
    </row>
    <row r="52" spans="1:3" x14ac:dyDescent="0.25">
      <c r="A52" t="s">
        <v>55</v>
      </c>
      <c r="B52" s="1">
        <f>AVERAGE(F2:F43)</f>
        <v>699.19047619047615</v>
      </c>
    </row>
    <row r="54" spans="1:3" x14ac:dyDescent="0.25">
      <c r="A54" t="s">
        <v>56</v>
      </c>
      <c r="B54">
        <f>AVERAGEIF(E2:E43,"Igen",F2:F43)</f>
        <v>1125.909090909091</v>
      </c>
    </row>
    <row r="56" spans="1:3" x14ac:dyDescent="0.25">
      <c r="A56" t="s">
        <v>57</v>
      </c>
      <c r="B56" t="str">
        <f>INDEX(A2:A43, MATCH(MAX(F2:F43), F2:F43, 0))</f>
        <v>Csángó Pál</v>
      </c>
    </row>
    <row r="59" spans="1:3" x14ac:dyDescent="0.25">
      <c r="B59" t="s">
        <v>1</v>
      </c>
      <c r="C59" t="s">
        <v>1</v>
      </c>
    </row>
    <row r="60" spans="1:3" x14ac:dyDescent="0.25">
      <c r="B60" t="s">
        <v>10</v>
      </c>
      <c r="C60" t="s">
        <v>7</v>
      </c>
    </row>
    <row r="61" spans="1:3" x14ac:dyDescent="0.25">
      <c r="A61" t="s">
        <v>2</v>
      </c>
      <c r="B61">
        <f>SUMIF($B$2:$B$43,B$60,$C$2:$C$43)</f>
        <v>33</v>
      </c>
      <c r="C61">
        <f>SUMIF($B$2:$B$43,C$60,$C$2:$C$43)</f>
        <v>42</v>
      </c>
    </row>
    <row r="62" spans="1:3" x14ac:dyDescent="0.25">
      <c r="A62" t="s">
        <v>3</v>
      </c>
      <c r="B62">
        <f>SUMIF($B$2:$B$43,B$60,$D$2:$D$43)</f>
        <v>43</v>
      </c>
      <c r="C62">
        <f>SUMIF($B$2:$B$43,C$60,$D$2:$D$43)</f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9F63-5D95-4F9B-9CA7-BFC6DA2AA58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Köteles Marcell</dc:creator>
  <cp:lastModifiedBy>Köteles Marcell</cp:lastModifiedBy>
  <dcterms:created xsi:type="dcterms:W3CDTF">2025-10-10T08:00:50Z</dcterms:created>
  <dcterms:modified xsi:type="dcterms:W3CDTF">2025-10-17T08:29:51Z</dcterms:modified>
</cp:coreProperties>
</file>