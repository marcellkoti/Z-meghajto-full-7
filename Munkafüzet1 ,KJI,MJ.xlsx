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0_ncr:0_{A7A61976-B9C1-4633-A1B3-547302AA2D7F}" xr6:coauthVersionLast="36" xr6:coauthVersionMax="36" xr10:uidLastSave="{00000000-0000-0000-0000-000000000000}"/>
  <bookViews>
    <workbookView xWindow="0" yWindow="0" windowWidth="21600" windowHeight="9405" xr2:uid="{5F249362-F98E-467A-B795-1B2CACFD728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I12" i="1"/>
  <c r="J4" i="1"/>
  <c r="J5" i="1"/>
  <c r="J6" i="1"/>
  <c r="J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2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2" i="1"/>
</calcChain>
</file>

<file path=xl/sharedStrings.xml><?xml version="1.0" encoding="utf-8"?>
<sst xmlns="http://schemas.openxmlformats.org/spreadsheetml/2006/main" count="136" uniqueCount="136">
  <si>
    <t>Települések</t>
  </si>
  <si>
    <t>Népesség (fő)</t>
  </si>
  <si>
    <t>CaO alsó (mg/l)</t>
  </si>
  <si>
    <t>CaO felső (mg/l)</t>
  </si>
  <si>
    <t>Keménység (nk°)</t>
  </si>
  <si>
    <t>Minőség</t>
  </si>
  <si>
    <t>Határérték (nk°)</t>
  </si>
  <si>
    <t>Kategória</t>
  </si>
  <si>
    <t>Települések (db)</t>
  </si>
  <si>
    <t>Fogyasztók (fő)</t>
  </si>
  <si>
    <t>Fogyasztók aránya</t>
  </si>
  <si>
    <t>Adács</t>
  </si>
  <si>
    <t>nagyon lágy víz</t>
  </si>
  <si>
    <t>Aldebrő</t>
  </si>
  <si>
    <t>lágy víz</t>
  </si>
  <si>
    <t>Andornaktálya</t>
  </si>
  <si>
    <t>középkemény víz</t>
  </si>
  <si>
    <t>Apc</t>
  </si>
  <si>
    <t>kemény víz</t>
  </si>
  <si>
    <t>Átány</t>
  </si>
  <si>
    <t>nem szolgáltatható</t>
  </si>
  <si>
    <t>Atkár</t>
  </si>
  <si>
    <t>Bátonyterenye</t>
  </si>
  <si>
    <t>Maximális keménység</t>
  </si>
  <si>
    <t>Bátor</t>
  </si>
  <si>
    <t>Besenyőtelek</t>
  </si>
  <si>
    <t>Boconád</t>
  </si>
  <si>
    <t>Bogács</t>
  </si>
  <si>
    <t>Boldog</t>
  </si>
  <si>
    <t>Borsodgeszt</t>
  </si>
  <si>
    <t>Borsodivánka</t>
  </si>
  <si>
    <t>Bükkábrány</t>
  </si>
  <si>
    <t>Bükkzsérc</t>
  </si>
  <si>
    <t>Csány</t>
  </si>
  <si>
    <t>Cserépfalu</t>
  </si>
  <si>
    <t>Cserépváralja</t>
  </si>
  <si>
    <t>Csincse</t>
  </si>
  <si>
    <t>Demjén</t>
  </si>
  <si>
    <t>Detk</t>
  </si>
  <si>
    <t>Dédestapolcsány</t>
  </si>
  <si>
    <t>Domoszló</t>
  </si>
  <si>
    <t>Dormánd</t>
  </si>
  <si>
    <t>Ecséd</t>
  </si>
  <si>
    <t>Eger</t>
  </si>
  <si>
    <t>Egerbakta</t>
  </si>
  <si>
    <t>Egerbocs</t>
  </si>
  <si>
    <t>Egercsehi</t>
  </si>
  <si>
    <t>Egerlövő</t>
  </si>
  <si>
    <t>Egerszalók</t>
  </si>
  <si>
    <t>Egerszólát</t>
  </si>
  <si>
    <t>Erdőtelek</t>
  </si>
  <si>
    <t>Erk</t>
  </si>
  <si>
    <t>Feldebrő</t>
  </si>
  <si>
    <t>Felsőtárkány</t>
  </si>
  <si>
    <t>Füzesabony</t>
  </si>
  <si>
    <t>Gelej</t>
  </si>
  <si>
    <t>Gyöngyöshalász</t>
  </si>
  <si>
    <t>Gyöngyös</t>
  </si>
  <si>
    <t>Gyöngyösoroszi</t>
  </si>
  <si>
    <t>Gyöngyöspata</t>
  </si>
  <si>
    <t>Gyöngyössolymos</t>
  </si>
  <si>
    <t>Gyöngyöstarján</t>
  </si>
  <si>
    <t>Halmajugra</t>
  </si>
  <si>
    <t>Harsány</t>
  </si>
  <si>
    <t>Hatvan</t>
  </si>
  <si>
    <t>Heréd</t>
  </si>
  <si>
    <t>Heves</t>
  </si>
  <si>
    <t>Hevesaranyos</t>
  </si>
  <si>
    <t>Hevesvezekény</t>
  </si>
  <si>
    <t>Hort</t>
  </si>
  <si>
    <t>Istenmezeje-Szederkénypuszta</t>
  </si>
  <si>
    <t>Jászárokszállás</t>
  </si>
  <si>
    <t>Karácsond</t>
  </si>
  <si>
    <t>Kál</t>
  </si>
  <si>
    <t>Kápolna</t>
  </si>
  <si>
    <t>Kerecsend</t>
  </si>
  <si>
    <t>Kerekharaszt</t>
  </si>
  <si>
    <t>Kisgyőr</t>
  </si>
  <si>
    <t>Kisnána</t>
  </si>
  <si>
    <t>Kompolt</t>
  </si>
  <si>
    <t>Kömlő</t>
  </si>
  <si>
    <t>Lőrinci</t>
  </si>
  <si>
    <t>Ludas</t>
  </si>
  <si>
    <t>Maklár</t>
  </si>
  <si>
    <t>Markaz</t>
  </si>
  <si>
    <t>Mályinka</t>
  </si>
  <si>
    <t>Mátrafüred</t>
  </si>
  <si>
    <t>Mátraverebély</t>
  </si>
  <si>
    <t>Mezőkeresztes</t>
  </si>
  <si>
    <t>Mezőnagymihály</t>
  </si>
  <si>
    <t>Mezőnyárád</t>
  </si>
  <si>
    <t>Mezőtárkány</t>
  </si>
  <si>
    <t>Nagyfüged</t>
  </si>
  <si>
    <t>Nagykökényes</t>
  </si>
  <si>
    <t>Nagyréde</t>
  </si>
  <si>
    <t>Nagytálya</t>
  </si>
  <si>
    <t>Nagyút</t>
  </si>
  <si>
    <t>Négyes</t>
  </si>
  <si>
    <t>Noszvaj</t>
  </si>
  <si>
    <t>Novaj</t>
  </si>
  <si>
    <t>Ostoros</t>
  </si>
  <si>
    <t>Pálosvörösmart</t>
  </si>
  <si>
    <t>Pély</t>
  </si>
  <si>
    <t>Petőfibánya</t>
  </si>
  <si>
    <t>Rákóczibánya</t>
  </si>
  <si>
    <t>Rózsaszentmárton</t>
  </si>
  <si>
    <t>Sarud</t>
  </si>
  <si>
    <t>Sály</t>
  </si>
  <si>
    <t>Szarvaskő</t>
  </si>
  <si>
    <t>Szentistván</t>
  </si>
  <si>
    <t>Szihalom</t>
  </si>
  <si>
    <t>Szomolya</t>
  </si>
  <si>
    <t>Szúcs</t>
  </si>
  <si>
    <t>Szücsi</t>
  </si>
  <si>
    <t>Tard</t>
  </si>
  <si>
    <t>Tarnabod</t>
  </si>
  <si>
    <t>Tarnaméra</t>
  </si>
  <si>
    <t>Tarnaörs</t>
  </si>
  <si>
    <t>Tarnaszentmiklós</t>
  </si>
  <si>
    <t>Tarnazsadány</t>
  </si>
  <si>
    <t>Tenk</t>
  </si>
  <si>
    <t>Tibolddaróc</t>
  </si>
  <si>
    <t>Tiszabábolna</t>
  </si>
  <si>
    <t>Tiszadorogma</t>
  </si>
  <si>
    <t>Tiszanána</t>
  </si>
  <si>
    <t>Tiszavalk</t>
  </si>
  <si>
    <t>Tófalu</t>
  </si>
  <si>
    <t>Vatta</t>
  </si>
  <si>
    <t>Vámosgyörk</t>
  </si>
  <si>
    <t>Vécs</t>
  </si>
  <si>
    <t>Verseg</t>
  </si>
  <si>
    <t>Visonta</t>
  </si>
  <si>
    <t>Visznek</t>
  </si>
  <si>
    <t>Zagyvaszántó</t>
  </si>
  <si>
    <t>Zaránk</t>
  </si>
  <si>
    <t>Minőség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</si>
</sst>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4B75-FDBE-476B-824C-56BC9A038224}">
  <dimension ref="A1:L119"/>
  <sheetViews>
    <sheetView tabSelected="1" workbookViewId="0">
      <selection activeCell="L4" sqref="L4"/>
    </sheetView>
  </sheetViews>
  <sheetFormatPr defaultRowHeight="15" x14ac:dyDescent="0.25"/>
  <cols>
    <col min="6" max="6" width="18.140625" bestFit="1" customWidth="1"/>
    <col min="7" max="7" width="16.28515625" bestFit="1" customWidth="1"/>
    <col min="8" max="8" width="15.28515625" bestFit="1" customWidth="1"/>
    <col min="9" max="9" width="20.85546875" bestFit="1" customWidth="1"/>
    <col min="10" max="10" width="16.140625" bestFit="1" customWidth="1"/>
    <col min="11" max="11" width="14.57031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>
        <v>2718</v>
      </c>
      <c r="C2">
        <v>160</v>
      </c>
      <c r="D2">
        <v>170</v>
      </c>
      <c r="E2">
        <f>ROUND(AVERAGE(C2:D2)/10,1)</f>
        <v>16.5</v>
      </c>
      <c r="F2" t="str">
        <f>IF(E2&lt;$H$3,$I$3,IF(E2&lt;$H$4,$I$3,IF(E2&lt;$H$5,$I$4,IF($H$6&lt;$I$5,$I$6))))</f>
        <v>középkemény víz</v>
      </c>
      <c r="G2" t="str">
        <f>VLOOKUP(E2,$H$2:$I$6,2,TRUE)</f>
        <v>középkemény víz</v>
      </c>
      <c r="H2">
        <v>0</v>
      </c>
      <c r="I2" t="s">
        <v>12</v>
      </c>
      <c r="J2">
        <f>COUNTIF(G2:G119,I2)</f>
        <v>5</v>
      </c>
      <c r="K2">
        <v>7578</v>
      </c>
      <c r="L2" s="1">
        <f>K2/SUM($B$2:$B$119)</f>
        <v>2.3904080853708161E-2</v>
      </c>
    </row>
    <row r="3" spans="1:12" x14ac:dyDescent="0.25">
      <c r="A3" t="s">
        <v>13</v>
      </c>
      <c r="B3">
        <v>666</v>
      </c>
      <c r="C3">
        <v>180</v>
      </c>
      <c r="D3">
        <v>190</v>
      </c>
      <c r="E3">
        <f t="shared" ref="E3:E66" si="0">ROUND(AVERAGE(C3:D3)/10,1)</f>
        <v>18.5</v>
      </c>
      <c r="F3" t="str">
        <f t="shared" ref="F3:F66" si="1">IF(E3&lt;$H$3,$I$3,IF(E3&lt;$H$4,$I$3,IF(E3&lt;$H$5,$I$4,IF($H$6&lt;$I$5,$I$6))))</f>
        <v>középkemény víz</v>
      </c>
      <c r="G3" t="str">
        <f t="shared" ref="G3:G66" si="2">VLOOKUP(E3,$H$2:$I$6,2,TRUE)</f>
        <v>középkemény víz</v>
      </c>
      <c r="H3">
        <v>7</v>
      </c>
      <c r="I3" t="s">
        <v>14</v>
      </c>
      <c r="J3">
        <f>COUNTIF(G2:G119,I3)</f>
        <v>34</v>
      </c>
    </row>
    <row r="4" spans="1:12" x14ac:dyDescent="0.25">
      <c r="A4" t="s">
        <v>15</v>
      </c>
      <c r="B4">
        <v>2741</v>
      </c>
      <c r="C4">
        <v>160</v>
      </c>
      <c r="D4">
        <v>190</v>
      </c>
      <c r="E4">
        <f t="shared" si="0"/>
        <v>17.5</v>
      </c>
      <c r="F4" t="str">
        <f t="shared" si="1"/>
        <v>középkemény víz</v>
      </c>
      <c r="G4" t="str">
        <f t="shared" si="2"/>
        <v>középkemény víz</v>
      </c>
      <c r="H4">
        <v>14</v>
      </c>
      <c r="I4" t="s">
        <v>16</v>
      </c>
      <c r="J4">
        <f t="shared" ref="J4:J6" si="3">COUNTIF(G3:G120,I4)</f>
        <v>66</v>
      </c>
    </row>
    <row r="5" spans="1:12" x14ac:dyDescent="0.25">
      <c r="A5" t="s">
        <v>17</v>
      </c>
      <c r="B5">
        <v>2593</v>
      </c>
      <c r="C5">
        <v>240</v>
      </c>
      <c r="D5">
        <v>260</v>
      </c>
      <c r="E5">
        <f t="shared" si="0"/>
        <v>25</v>
      </c>
      <c r="F5" t="str">
        <f t="shared" si="1"/>
        <v>nem szolgáltatható</v>
      </c>
      <c r="G5" t="str">
        <f t="shared" si="2"/>
        <v>kemény víz</v>
      </c>
      <c r="H5">
        <v>21</v>
      </c>
      <c r="I5" t="s">
        <v>18</v>
      </c>
      <c r="J5">
        <f t="shared" si="3"/>
        <v>12</v>
      </c>
    </row>
    <row r="6" spans="1:12" x14ac:dyDescent="0.25">
      <c r="A6" t="s">
        <v>19</v>
      </c>
      <c r="B6">
        <v>1341</v>
      </c>
      <c r="C6">
        <v>170</v>
      </c>
      <c r="D6">
        <v>180</v>
      </c>
      <c r="E6">
        <f t="shared" si="0"/>
        <v>17.5</v>
      </c>
      <c r="F6" t="str">
        <f t="shared" si="1"/>
        <v>középkemény víz</v>
      </c>
      <c r="G6" t="str">
        <f t="shared" si="2"/>
        <v>középkemény víz</v>
      </c>
      <c r="H6">
        <v>35</v>
      </c>
      <c r="I6" t="s">
        <v>20</v>
      </c>
      <c r="J6">
        <f t="shared" si="3"/>
        <v>0</v>
      </c>
    </row>
    <row r="7" spans="1:12" x14ac:dyDescent="0.25">
      <c r="A7" t="s">
        <v>21</v>
      </c>
      <c r="B7">
        <v>1730</v>
      </c>
      <c r="C7">
        <v>100</v>
      </c>
      <c r="D7">
        <v>120</v>
      </c>
      <c r="E7">
        <f t="shared" si="0"/>
        <v>11</v>
      </c>
      <c r="F7" t="str">
        <f t="shared" si="1"/>
        <v>lágy víz</v>
      </c>
      <c r="G7" t="str">
        <f t="shared" si="2"/>
        <v>lágy víz</v>
      </c>
    </row>
    <row r="8" spans="1:12" x14ac:dyDescent="0.25">
      <c r="A8" t="s">
        <v>22</v>
      </c>
      <c r="B8">
        <v>1058</v>
      </c>
      <c r="C8">
        <v>200</v>
      </c>
      <c r="D8">
        <v>230</v>
      </c>
      <c r="E8">
        <f t="shared" si="0"/>
        <v>21.5</v>
      </c>
      <c r="F8" t="str">
        <f t="shared" si="1"/>
        <v>nem szolgáltatható</v>
      </c>
      <c r="G8" t="str">
        <f t="shared" si="2"/>
        <v>kemény víz</v>
      </c>
      <c r="I8" t="s">
        <v>23</v>
      </c>
    </row>
    <row r="9" spans="1:12" x14ac:dyDescent="0.25">
      <c r="A9" t="s">
        <v>24</v>
      </c>
      <c r="B9">
        <v>407</v>
      </c>
      <c r="C9">
        <v>160</v>
      </c>
      <c r="D9">
        <v>170</v>
      </c>
      <c r="E9">
        <f t="shared" si="0"/>
        <v>16.5</v>
      </c>
      <c r="F9" t="str">
        <f t="shared" si="1"/>
        <v>középkemény víz</v>
      </c>
      <c r="G9" t="str">
        <f t="shared" si="2"/>
        <v>középkemény víz</v>
      </c>
    </row>
    <row r="10" spans="1:12" x14ac:dyDescent="0.25">
      <c r="A10" t="s">
        <v>25</v>
      </c>
      <c r="B10">
        <v>2611</v>
      </c>
      <c r="C10">
        <v>170</v>
      </c>
      <c r="D10">
        <v>180</v>
      </c>
      <c r="E10">
        <f t="shared" si="0"/>
        <v>17.5</v>
      </c>
      <c r="F10" t="str">
        <f t="shared" si="1"/>
        <v>középkemény víz</v>
      </c>
      <c r="G10" t="str">
        <f t="shared" si="2"/>
        <v>középkemény víz</v>
      </c>
    </row>
    <row r="11" spans="1:12" x14ac:dyDescent="0.25">
      <c r="A11" t="s">
        <v>26</v>
      </c>
      <c r="B11">
        <v>1301</v>
      </c>
      <c r="C11">
        <v>110</v>
      </c>
      <c r="D11">
        <v>130</v>
      </c>
      <c r="E11">
        <f t="shared" si="0"/>
        <v>12</v>
      </c>
      <c r="F11" t="str">
        <f t="shared" si="1"/>
        <v>lágy víz</v>
      </c>
      <c r="G11" t="str">
        <f t="shared" si="2"/>
        <v>lágy víz</v>
      </c>
    </row>
    <row r="12" spans="1:12" x14ac:dyDescent="0.25">
      <c r="A12" t="s">
        <v>27</v>
      </c>
      <c r="B12">
        <v>724</v>
      </c>
      <c r="C12">
        <v>160</v>
      </c>
      <c r="D12">
        <v>170</v>
      </c>
      <c r="E12">
        <f t="shared" si="0"/>
        <v>16.5</v>
      </c>
      <c r="F12" t="str">
        <f t="shared" si="1"/>
        <v>középkemény víz</v>
      </c>
      <c r="G12" t="str">
        <f t="shared" si="2"/>
        <v>középkemény víz</v>
      </c>
      <c r="I12">
        <f>SUMIF(B2:B119,"&lt;500")</f>
        <v>5764</v>
      </c>
    </row>
    <row r="13" spans="1:12" x14ac:dyDescent="0.25">
      <c r="A13" t="s">
        <v>28</v>
      </c>
      <c r="B13">
        <v>2996</v>
      </c>
      <c r="C13">
        <v>120</v>
      </c>
      <c r="D13">
        <v>130</v>
      </c>
      <c r="E13">
        <f t="shared" si="0"/>
        <v>12.5</v>
      </c>
      <c r="F13" t="str">
        <f t="shared" si="1"/>
        <v>lágy víz</v>
      </c>
      <c r="G13" t="str">
        <f t="shared" si="2"/>
        <v>lágy víz</v>
      </c>
    </row>
    <row r="14" spans="1:12" x14ac:dyDescent="0.25">
      <c r="A14" t="s">
        <v>29</v>
      </c>
      <c r="B14">
        <v>2996</v>
      </c>
      <c r="C14">
        <v>180</v>
      </c>
      <c r="D14">
        <v>180</v>
      </c>
      <c r="E14">
        <f t="shared" si="0"/>
        <v>18</v>
      </c>
      <c r="F14" t="str">
        <f t="shared" si="1"/>
        <v>középkemény víz</v>
      </c>
      <c r="G14" t="str">
        <f t="shared" si="2"/>
        <v>középkemény víz</v>
      </c>
    </row>
    <row r="15" spans="1:12" x14ac:dyDescent="0.25">
      <c r="A15" t="s">
        <v>30</v>
      </c>
      <c r="B15">
        <v>2996</v>
      </c>
      <c r="C15">
        <v>170</v>
      </c>
      <c r="D15">
        <v>180</v>
      </c>
      <c r="E15">
        <f t="shared" si="0"/>
        <v>17.5</v>
      </c>
      <c r="F15" t="str">
        <f t="shared" si="1"/>
        <v>középkemény víz</v>
      </c>
      <c r="G15" t="str">
        <f t="shared" si="2"/>
        <v>középkemény víz</v>
      </c>
    </row>
    <row r="16" spans="1:12" x14ac:dyDescent="0.25">
      <c r="A16" t="s">
        <v>31</v>
      </c>
      <c r="B16">
        <v>2996</v>
      </c>
      <c r="C16">
        <v>180</v>
      </c>
      <c r="D16">
        <v>190</v>
      </c>
      <c r="E16">
        <f t="shared" si="0"/>
        <v>18.5</v>
      </c>
      <c r="F16" t="str">
        <f t="shared" si="1"/>
        <v>középkemény víz</v>
      </c>
      <c r="G16" t="str">
        <f t="shared" si="2"/>
        <v>középkemény víz</v>
      </c>
    </row>
    <row r="17" spans="1:7" x14ac:dyDescent="0.25">
      <c r="A17" t="s">
        <v>32</v>
      </c>
      <c r="B17">
        <v>318</v>
      </c>
      <c r="C17">
        <v>160</v>
      </c>
      <c r="D17">
        <v>170</v>
      </c>
      <c r="E17">
        <f t="shared" si="0"/>
        <v>16.5</v>
      </c>
      <c r="F17" t="str">
        <f t="shared" si="1"/>
        <v>középkemény víz</v>
      </c>
      <c r="G17" t="str">
        <f t="shared" si="2"/>
        <v>középkemény víz</v>
      </c>
    </row>
    <row r="18" spans="1:7" x14ac:dyDescent="0.25">
      <c r="A18" t="s">
        <v>33</v>
      </c>
      <c r="B18">
        <v>2230</v>
      </c>
      <c r="C18">
        <v>150</v>
      </c>
      <c r="D18">
        <v>160</v>
      </c>
      <c r="E18">
        <f t="shared" si="0"/>
        <v>15.5</v>
      </c>
      <c r="F18" t="str">
        <f t="shared" si="1"/>
        <v>középkemény víz</v>
      </c>
      <c r="G18" t="str">
        <f t="shared" si="2"/>
        <v>középkemény víz</v>
      </c>
    </row>
    <row r="19" spans="1:7" x14ac:dyDescent="0.25">
      <c r="A19" t="s">
        <v>34</v>
      </c>
      <c r="B19">
        <v>2230</v>
      </c>
      <c r="C19">
        <v>160</v>
      </c>
      <c r="D19">
        <v>170</v>
      </c>
      <c r="E19">
        <f t="shared" si="0"/>
        <v>16.5</v>
      </c>
      <c r="F19" t="str">
        <f t="shared" si="1"/>
        <v>középkemény víz</v>
      </c>
      <c r="G19" t="str">
        <f t="shared" si="2"/>
        <v>középkemény víz</v>
      </c>
    </row>
    <row r="20" spans="1:7" x14ac:dyDescent="0.25">
      <c r="A20" t="s">
        <v>35</v>
      </c>
      <c r="B20">
        <v>2230</v>
      </c>
      <c r="C20">
        <v>150</v>
      </c>
      <c r="D20">
        <v>170</v>
      </c>
      <c r="E20">
        <f t="shared" si="0"/>
        <v>16</v>
      </c>
      <c r="F20" t="str">
        <f t="shared" si="1"/>
        <v>középkemény víz</v>
      </c>
      <c r="G20" t="str">
        <f t="shared" si="2"/>
        <v>középkemény víz</v>
      </c>
    </row>
    <row r="21" spans="1:7" x14ac:dyDescent="0.25">
      <c r="A21" t="s">
        <v>36</v>
      </c>
      <c r="B21">
        <v>2230</v>
      </c>
      <c r="C21">
        <v>100</v>
      </c>
      <c r="D21">
        <v>110</v>
      </c>
      <c r="E21">
        <f t="shared" si="0"/>
        <v>10.5</v>
      </c>
      <c r="F21" t="str">
        <f t="shared" si="1"/>
        <v>lágy víz</v>
      </c>
      <c r="G21" t="str">
        <f t="shared" si="2"/>
        <v>lágy víz</v>
      </c>
    </row>
    <row r="22" spans="1:7" x14ac:dyDescent="0.25">
      <c r="A22" t="s">
        <v>37</v>
      </c>
      <c r="B22">
        <v>584</v>
      </c>
      <c r="C22">
        <v>160</v>
      </c>
      <c r="D22">
        <v>190</v>
      </c>
      <c r="E22">
        <f t="shared" si="0"/>
        <v>17.5</v>
      </c>
      <c r="F22" t="str">
        <f t="shared" si="1"/>
        <v>középkemény víz</v>
      </c>
      <c r="G22" t="str">
        <f t="shared" si="2"/>
        <v>középkemény víz</v>
      </c>
    </row>
    <row r="23" spans="1:7" x14ac:dyDescent="0.25">
      <c r="A23" t="s">
        <v>38</v>
      </c>
      <c r="B23">
        <v>1179</v>
      </c>
      <c r="C23">
        <v>120</v>
      </c>
      <c r="D23">
        <v>140</v>
      </c>
      <c r="E23">
        <f t="shared" si="0"/>
        <v>13</v>
      </c>
      <c r="F23" t="str">
        <f t="shared" si="1"/>
        <v>lágy víz</v>
      </c>
      <c r="G23" t="str">
        <f t="shared" si="2"/>
        <v>lágy víz</v>
      </c>
    </row>
    <row r="24" spans="1:7" x14ac:dyDescent="0.25">
      <c r="A24" t="s">
        <v>39</v>
      </c>
      <c r="B24">
        <v>2230</v>
      </c>
      <c r="C24">
        <v>125</v>
      </c>
      <c r="D24">
        <v>140</v>
      </c>
      <c r="E24">
        <f t="shared" si="0"/>
        <v>13.3</v>
      </c>
      <c r="F24" t="str">
        <f t="shared" si="1"/>
        <v>lágy víz</v>
      </c>
      <c r="G24" t="str">
        <f t="shared" si="2"/>
        <v>lágy víz</v>
      </c>
    </row>
    <row r="25" spans="1:7" x14ac:dyDescent="0.25">
      <c r="A25" t="s">
        <v>40</v>
      </c>
      <c r="B25">
        <v>2019</v>
      </c>
      <c r="C25">
        <v>95</v>
      </c>
      <c r="D25">
        <v>105</v>
      </c>
      <c r="E25">
        <f t="shared" si="0"/>
        <v>10</v>
      </c>
      <c r="F25" t="str">
        <f t="shared" si="1"/>
        <v>lágy víz</v>
      </c>
      <c r="G25" t="str">
        <f t="shared" si="2"/>
        <v>lágy víz</v>
      </c>
    </row>
    <row r="26" spans="1:7" x14ac:dyDescent="0.25">
      <c r="A26" t="s">
        <v>41</v>
      </c>
      <c r="B26">
        <v>1048</v>
      </c>
      <c r="C26">
        <v>170</v>
      </c>
      <c r="D26">
        <v>180</v>
      </c>
      <c r="E26">
        <f t="shared" si="0"/>
        <v>17.5</v>
      </c>
      <c r="F26" t="str">
        <f t="shared" si="1"/>
        <v>középkemény víz</v>
      </c>
      <c r="G26" t="str">
        <f t="shared" si="2"/>
        <v>középkemény víz</v>
      </c>
    </row>
    <row r="27" spans="1:7" x14ac:dyDescent="0.25">
      <c r="A27" t="s">
        <v>42</v>
      </c>
      <c r="B27">
        <v>3254</v>
      </c>
      <c r="C27">
        <v>175</v>
      </c>
      <c r="D27">
        <v>185</v>
      </c>
      <c r="E27">
        <f t="shared" si="0"/>
        <v>18</v>
      </c>
      <c r="F27" t="str">
        <f t="shared" si="1"/>
        <v>középkemény víz</v>
      </c>
      <c r="G27" t="str">
        <f t="shared" si="2"/>
        <v>középkemény víz</v>
      </c>
    </row>
    <row r="28" spans="1:7" x14ac:dyDescent="0.25">
      <c r="A28" t="s">
        <v>43</v>
      </c>
      <c r="B28">
        <v>56530</v>
      </c>
      <c r="C28">
        <v>170</v>
      </c>
      <c r="D28">
        <v>200</v>
      </c>
      <c r="E28">
        <f t="shared" si="0"/>
        <v>18.5</v>
      </c>
      <c r="F28" t="str">
        <f t="shared" si="1"/>
        <v>középkemény víz</v>
      </c>
      <c r="G28" t="str">
        <f t="shared" si="2"/>
        <v>középkemény víz</v>
      </c>
    </row>
    <row r="29" spans="1:7" x14ac:dyDescent="0.25">
      <c r="A29" t="s">
        <v>44</v>
      </c>
      <c r="B29">
        <v>1449</v>
      </c>
      <c r="C29">
        <v>160</v>
      </c>
      <c r="D29">
        <v>190</v>
      </c>
      <c r="E29">
        <f t="shared" si="0"/>
        <v>17.5</v>
      </c>
      <c r="F29" t="str">
        <f t="shared" si="1"/>
        <v>középkemény víz</v>
      </c>
      <c r="G29" t="str">
        <f t="shared" si="2"/>
        <v>középkemény víz</v>
      </c>
    </row>
    <row r="30" spans="1:7" x14ac:dyDescent="0.25">
      <c r="A30" t="s">
        <v>45</v>
      </c>
      <c r="B30">
        <v>555</v>
      </c>
      <c r="C30">
        <v>160</v>
      </c>
      <c r="D30">
        <v>170</v>
      </c>
      <c r="E30">
        <f t="shared" si="0"/>
        <v>16.5</v>
      </c>
      <c r="F30" t="str">
        <f t="shared" si="1"/>
        <v>középkemény víz</v>
      </c>
      <c r="G30" t="str">
        <f t="shared" si="2"/>
        <v>középkemény víz</v>
      </c>
    </row>
    <row r="31" spans="1:7" x14ac:dyDescent="0.25">
      <c r="A31" t="s">
        <v>46</v>
      </c>
      <c r="B31">
        <v>1390</v>
      </c>
      <c r="C31">
        <v>160</v>
      </c>
      <c r="D31">
        <v>170</v>
      </c>
      <c r="E31">
        <f t="shared" si="0"/>
        <v>16.5</v>
      </c>
      <c r="F31" t="str">
        <f t="shared" si="1"/>
        <v>középkemény víz</v>
      </c>
      <c r="G31" t="str">
        <f t="shared" si="2"/>
        <v>középkemény víz</v>
      </c>
    </row>
    <row r="32" spans="1:7" x14ac:dyDescent="0.25">
      <c r="A32" t="s">
        <v>47</v>
      </c>
      <c r="B32">
        <v>714</v>
      </c>
      <c r="C32">
        <v>170</v>
      </c>
      <c r="D32">
        <v>180</v>
      </c>
      <c r="E32">
        <f t="shared" si="0"/>
        <v>17.5</v>
      </c>
      <c r="F32" t="str">
        <f t="shared" si="1"/>
        <v>középkemény víz</v>
      </c>
      <c r="G32" t="str">
        <f t="shared" si="2"/>
        <v>középkemény víz</v>
      </c>
    </row>
    <row r="33" spans="1:7" x14ac:dyDescent="0.25">
      <c r="A33" t="s">
        <v>48</v>
      </c>
      <c r="B33">
        <v>1884</v>
      </c>
      <c r="C33">
        <v>160</v>
      </c>
      <c r="D33">
        <v>190</v>
      </c>
      <c r="E33">
        <f t="shared" si="0"/>
        <v>17.5</v>
      </c>
      <c r="F33" t="str">
        <f t="shared" si="1"/>
        <v>középkemény víz</v>
      </c>
      <c r="G33" t="str">
        <f t="shared" si="2"/>
        <v>középkemény víz</v>
      </c>
    </row>
    <row r="34" spans="1:7" x14ac:dyDescent="0.25">
      <c r="A34" t="s">
        <v>49</v>
      </c>
      <c r="B34">
        <v>1061</v>
      </c>
      <c r="C34">
        <v>160</v>
      </c>
      <c r="D34">
        <v>190</v>
      </c>
      <c r="E34">
        <f t="shared" si="0"/>
        <v>17.5</v>
      </c>
      <c r="F34" t="str">
        <f t="shared" si="1"/>
        <v>középkemény víz</v>
      </c>
      <c r="G34" t="str">
        <f t="shared" si="2"/>
        <v>középkemény víz</v>
      </c>
    </row>
    <row r="35" spans="1:7" x14ac:dyDescent="0.25">
      <c r="A35" t="s">
        <v>50</v>
      </c>
      <c r="B35">
        <v>3156</v>
      </c>
      <c r="C35">
        <v>180</v>
      </c>
      <c r="D35">
        <v>195</v>
      </c>
      <c r="E35">
        <f t="shared" si="0"/>
        <v>18.8</v>
      </c>
      <c r="F35" t="str">
        <f t="shared" si="1"/>
        <v>középkemény víz</v>
      </c>
      <c r="G35" t="str">
        <f t="shared" si="2"/>
        <v>középkemény víz</v>
      </c>
    </row>
    <row r="36" spans="1:7" x14ac:dyDescent="0.25">
      <c r="A36" t="s">
        <v>51</v>
      </c>
      <c r="B36">
        <v>891</v>
      </c>
      <c r="C36">
        <v>130</v>
      </c>
      <c r="D36">
        <v>160</v>
      </c>
      <c r="E36">
        <f t="shared" si="0"/>
        <v>14.5</v>
      </c>
      <c r="F36" t="str">
        <f t="shared" si="1"/>
        <v>középkemény víz</v>
      </c>
      <c r="G36" t="str">
        <f t="shared" si="2"/>
        <v>középkemény víz</v>
      </c>
    </row>
    <row r="37" spans="1:7" x14ac:dyDescent="0.25">
      <c r="A37" t="s">
        <v>52</v>
      </c>
      <c r="B37">
        <v>1035</v>
      </c>
      <c r="C37">
        <v>180</v>
      </c>
      <c r="D37">
        <v>190</v>
      </c>
      <c r="E37">
        <f t="shared" si="0"/>
        <v>18.5</v>
      </c>
      <c r="F37" t="str">
        <f t="shared" si="1"/>
        <v>középkemény víz</v>
      </c>
      <c r="G37" t="str">
        <f t="shared" si="2"/>
        <v>középkemény víz</v>
      </c>
    </row>
    <row r="38" spans="1:7" x14ac:dyDescent="0.25">
      <c r="A38" t="s">
        <v>53</v>
      </c>
      <c r="B38">
        <v>3396</v>
      </c>
      <c r="C38">
        <v>140</v>
      </c>
      <c r="D38">
        <v>150</v>
      </c>
      <c r="E38">
        <f t="shared" si="0"/>
        <v>14.5</v>
      </c>
      <c r="F38" t="str">
        <f t="shared" si="1"/>
        <v>középkemény víz</v>
      </c>
      <c r="G38" t="str">
        <f t="shared" si="2"/>
        <v>középkemény víz</v>
      </c>
    </row>
    <row r="39" spans="1:7" x14ac:dyDescent="0.25">
      <c r="A39" t="s">
        <v>54</v>
      </c>
      <c r="B39">
        <v>7813</v>
      </c>
      <c r="C39">
        <v>170</v>
      </c>
      <c r="D39">
        <v>180</v>
      </c>
      <c r="E39">
        <f t="shared" si="0"/>
        <v>17.5</v>
      </c>
      <c r="F39" t="str">
        <f t="shared" si="1"/>
        <v>középkemény víz</v>
      </c>
      <c r="G39" t="str">
        <f t="shared" si="2"/>
        <v>középkemény víz</v>
      </c>
    </row>
    <row r="40" spans="1:7" x14ac:dyDescent="0.25">
      <c r="A40" t="s">
        <v>55</v>
      </c>
      <c r="B40">
        <v>7813</v>
      </c>
      <c r="C40">
        <v>140</v>
      </c>
      <c r="D40">
        <v>140</v>
      </c>
      <c r="E40">
        <f t="shared" si="0"/>
        <v>14</v>
      </c>
      <c r="F40" t="str">
        <f t="shared" si="1"/>
        <v>középkemény víz</v>
      </c>
      <c r="G40" t="str">
        <f t="shared" si="2"/>
        <v>középkemény víz</v>
      </c>
    </row>
    <row r="41" spans="1:7" x14ac:dyDescent="0.25">
      <c r="A41" t="s">
        <v>56</v>
      </c>
      <c r="B41">
        <v>2550</v>
      </c>
      <c r="C41">
        <v>100</v>
      </c>
      <c r="D41">
        <v>120</v>
      </c>
      <c r="E41">
        <f t="shared" si="0"/>
        <v>11</v>
      </c>
      <c r="F41" t="str">
        <f t="shared" si="1"/>
        <v>lágy víz</v>
      </c>
      <c r="G41" t="str">
        <f t="shared" si="2"/>
        <v>lágy víz</v>
      </c>
    </row>
    <row r="42" spans="1:7" x14ac:dyDescent="0.25">
      <c r="A42" t="s">
        <v>57</v>
      </c>
      <c r="B42">
        <v>32640</v>
      </c>
      <c r="C42">
        <v>100</v>
      </c>
      <c r="D42">
        <v>120</v>
      </c>
      <c r="E42">
        <f t="shared" si="0"/>
        <v>11</v>
      </c>
      <c r="F42" t="str">
        <f t="shared" si="1"/>
        <v>lágy víz</v>
      </c>
      <c r="G42" t="str">
        <f t="shared" si="2"/>
        <v>lágy víz</v>
      </c>
    </row>
    <row r="43" spans="1:7" x14ac:dyDescent="0.25">
      <c r="A43" t="s">
        <v>58</v>
      </c>
      <c r="B43">
        <v>1506</v>
      </c>
      <c r="C43">
        <v>100</v>
      </c>
      <c r="D43">
        <v>120</v>
      </c>
      <c r="E43">
        <f t="shared" si="0"/>
        <v>11</v>
      </c>
      <c r="F43" t="str">
        <f t="shared" si="1"/>
        <v>lágy víz</v>
      </c>
      <c r="G43" t="str">
        <f t="shared" si="2"/>
        <v>lágy víz</v>
      </c>
    </row>
    <row r="44" spans="1:7" x14ac:dyDescent="0.25">
      <c r="A44" t="s">
        <v>59</v>
      </c>
      <c r="B44">
        <v>2520</v>
      </c>
      <c r="C44">
        <v>100</v>
      </c>
      <c r="D44">
        <v>120</v>
      </c>
      <c r="E44">
        <f t="shared" si="0"/>
        <v>11</v>
      </c>
      <c r="F44" t="str">
        <f t="shared" si="1"/>
        <v>lágy víz</v>
      </c>
      <c r="G44" t="str">
        <f t="shared" si="2"/>
        <v>lágy víz</v>
      </c>
    </row>
    <row r="45" spans="1:7" x14ac:dyDescent="0.25">
      <c r="A45" t="s">
        <v>60</v>
      </c>
      <c r="B45">
        <v>3011</v>
      </c>
      <c r="C45">
        <v>100</v>
      </c>
      <c r="D45">
        <v>120</v>
      </c>
      <c r="E45">
        <f t="shared" si="0"/>
        <v>11</v>
      </c>
      <c r="F45" t="str">
        <f t="shared" si="1"/>
        <v>lágy víz</v>
      </c>
      <c r="G45" t="str">
        <f t="shared" si="2"/>
        <v>lágy víz</v>
      </c>
    </row>
    <row r="46" spans="1:7" x14ac:dyDescent="0.25">
      <c r="A46" t="s">
        <v>61</v>
      </c>
      <c r="B46">
        <v>2485</v>
      </c>
      <c r="C46">
        <v>100</v>
      </c>
      <c r="D46">
        <v>110</v>
      </c>
      <c r="E46">
        <f t="shared" si="0"/>
        <v>10.5</v>
      </c>
      <c r="F46" t="str">
        <f t="shared" si="1"/>
        <v>lágy víz</v>
      </c>
      <c r="G46" t="str">
        <f t="shared" si="2"/>
        <v>lágy víz</v>
      </c>
    </row>
    <row r="47" spans="1:7" x14ac:dyDescent="0.25">
      <c r="A47" t="s">
        <v>62</v>
      </c>
      <c r="B47">
        <v>1250</v>
      </c>
      <c r="C47">
        <v>120</v>
      </c>
      <c r="D47">
        <v>140</v>
      </c>
      <c r="E47">
        <f t="shared" si="0"/>
        <v>13</v>
      </c>
      <c r="F47" t="str">
        <f t="shared" si="1"/>
        <v>lágy víz</v>
      </c>
      <c r="G47" t="str">
        <f t="shared" si="2"/>
        <v>lágy víz</v>
      </c>
    </row>
    <row r="48" spans="1:7" x14ac:dyDescent="0.25">
      <c r="A48" t="s">
        <v>63</v>
      </c>
      <c r="B48">
        <v>1250</v>
      </c>
      <c r="C48">
        <v>190</v>
      </c>
      <c r="D48">
        <v>200</v>
      </c>
      <c r="E48">
        <f t="shared" si="0"/>
        <v>19.5</v>
      </c>
      <c r="F48" t="str">
        <f t="shared" si="1"/>
        <v>középkemény víz</v>
      </c>
      <c r="G48" t="str">
        <f t="shared" si="2"/>
        <v>középkemény víz</v>
      </c>
    </row>
    <row r="49" spans="1:7" x14ac:dyDescent="0.25">
      <c r="A49" t="s">
        <v>64</v>
      </c>
      <c r="B49">
        <v>20332</v>
      </c>
      <c r="C49">
        <v>150</v>
      </c>
      <c r="D49">
        <v>160</v>
      </c>
      <c r="E49">
        <f t="shared" si="0"/>
        <v>15.5</v>
      </c>
      <c r="F49" t="str">
        <f t="shared" si="1"/>
        <v>középkemény víz</v>
      </c>
      <c r="G49" t="str">
        <f t="shared" si="2"/>
        <v>középkemény víz</v>
      </c>
    </row>
    <row r="50" spans="1:7" x14ac:dyDescent="0.25">
      <c r="A50" t="s">
        <v>65</v>
      </c>
      <c r="B50">
        <v>2034</v>
      </c>
      <c r="C50">
        <v>240</v>
      </c>
      <c r="D50">
        <v>260</v>
      </c>
      <c r="E50">
        <f t="shared" si="0"/>
        <v>25</v>
      </c>
      <c r="F50" t="str">
        <f t="shared" si="1"/>
        <v>nem szolgáltatható</v>
      </c>
      <c r="G50" t="str">
        <f t="shared" si="2"/>
        <v>kemény víz</v>
      </c>
    </row>
    <row r="51" spans="1:7" x14ac:dyDescent="0.25">
      <c r="A51" t="s">
        <v>66</v>
      </c>
      <c r="B51">
        <v>10533</v>
      </c>
      <c r="C51">
        <v>135</v>
      </c>
      <c r="D51">
        <v>145</v>
      </c>
      <c r="E51">
        <f t="shared" si="0"/>
        <v>14</v>
      </c>
      <c r="F51" t="str">
        <f t="shared" si="1"/>
        <v>középkemény víz</v>
      </c>
      <c r="G51" t="str">
        <f t="shared" si="2"/>
        <v>középkemény víz</v>
      </c>
    </row>
    <row r="52" spans="1:7" x14ac:dyDescent="0.25">
      <c r="A52" t="s">
        <v>67</v>
      </c>
      <c r="B52">
        <v>608</v>
      </c>
      <c r="C52">
        <v>160</v>
      </c>
      <c r="D52">
        <v>170</v>
      </c>
      <c r="E52">
        <f t="shared" si="0"/>
        <v>16.5</v>
      </c>
      <c r="F52" t="str">
        <f t="shared" si="1"/>
        <v>középkemény víz</v>
      </c>
      <c r="G52" t="str">
        <f t="shared" si="2"/>
        <v>középkemény víz</v>
      </c>
    </row>
    <row r="53" spans="1:7" x14ac:dyDescent="0.25">
      <c r="A53" t="s">
        <v>68</v>
      </c>
      <c r="B53">
        <v>605</v>
      </c>
      <c r="C53">
        <v>110</v>
      </c>
      <c r="D53">
        <v>120</v>
      </c>
      <c r="E53">
        <f t="shared" si="0"/>
        <v>11.5</v>
      </c>
      <c r="F53" t="str">
        <f t="shared" si="1"/>
        <v>lágy víz</v>
      </c>
      <c r="G53" t="str">
        <f t="shared" si="2"/>
        <v>lágy víz</v>
      </c>
    </row>
    <row r="54" spans="1:7" x14ac:dyDescent="0.25">
      <c r="A54" t="s">
        <v>69</v>
      </c>
      <c r="B54">
        <v>3692</v>
      </c>
      <c r="C54">
        <v>190</v>
      </c>
      <c r="D54">
        <v>200</v>
      </c>
      <c r="E54">
        <f t="shared" si="0"/>
        <v>19.5</v>
      </c>
      <c r="F54" t="str">
        <f t="shared" si="1"/>
        <v>középkemény víz</v>
      </c>
      <c r="G54" t="str">
        <f t="shared" si="2"/>
        <v>középkemény víz</v>
      </c>
    </row>
    <row r="55" spans="1:7" x14ac:dyDescent="0.25">
      <c r="A55" t="s">
        <v>70</v>
      </c>
      <c r="B55">
        <v>1528</v>
      </c>
      <c r="C55">
        <v>18</v>
      </c>
      <c r="D55">
        <v>23</v>
      </c>
      <c r="E55">
        <f t="shared" si="0"/>
        <v>2.1</v>
      </c>
      <c r="F55" t="str">
        <f t="shared" si="1"/>
        <v>lágy víz</v>
      </c>
      <c r="G55" t="str">
        <f t="shared" si="2"/>
        <v>nagyon lágy víz</v>
      </c>
    </row>
    <row r="56" spans="1:7" x14ac:dyDescent="0.25">
      <c r="A56" t="s">
        <v>71</v>
      </c>
      <c r="B56">
        <v>367</v>
      </c>
      <c r="C56">
        <v>160</v>
      </c>
      <c r="D56">
        <v>170</v>
      </c>
      <c r="E56">
        <f t="shared" si="0"/>
        <v>16.5</v>
      </c>
      <c r="F56" t="str">
        <f t="shared" si="1"/>
        <v>középkemény víz</v>
      </c>
      <c r="G56" t="str">
        <f t="shared" si="2"/>
        <v>középkemény víz</v>
      </c>
    </row>
    <row r="57" spans="1:7" x14ac:dyDescent="0.25">
      <c r="A57" t="s">
        <v>72</v>
      </c>
      <c r="B57">
        <v>3091</v>
      </c>
      <c r="C57">
        <v>75</v>
      </c>
      <c r="D57">
        <v>85</v>
      </c>
      <c r="E57">
        <f t="shared" si="0"/>
        <v>8</v>
      </c>
      <c r="F57" t="str">
        <f t="shared" si="1"/>
        <v>lágy víz</v>
      </c>
      <c r="G57" t="str">
        <f t="shared" si="2"/>
        <v>lágy víz</v>
      </c>
    </row>
    <row r="58" spans="1:7" x14ac:dyDescent="0.25">
      <c r="A58" t="s">
        <v>73</v>
      </c>
      <c r="B58">
        <v>3585</v>
      </c>
      <c r="C58">
        <v>210</v>
      </c>
      <c r="D58">
        <v>220</v>
      </c>
      <c r="E58">
        <f t="shared" si="0"/>
        <v>21.5</v>
      </c>
      <c r="F58" t="str">
        <f t="shared" si="1"/>
        <v>nem szolgáltatható</v>
      </c>
      <c r="G58" t="str">
        <f t="shared" si="2"/>
        <v>kemény víz</v>
      </c>
    </row>
    <row r="59" spans="1:7" x14ac:dyDescent="0.25">
      <c r="A59" t="s">
        <v>74</v>
      </c>
      <c r="B59">
        <v>1605</v>
      </c>
      <c r="C59">
        <v>110</v>
      </c>
      <c r="D59">
        <v>120</v>
      </c>
      <c r="E59">
        <f t="shared" si="0"/>
        <v>11.5</v>
      </c>
      <c r="F59" t="str">
        <f t="shared" si="1"/>
        <v>lágy víz</v>
      </c>
      <c r="G59" t="str">
        <f t="shared" si="2"/>
        <v>lágy víz</v>
      </c>
    </row>
    <row r="60" spans="1:7" x14ac:dyDescent="0.25">
      <c r="A60" t="s">
        <v>75</v>
      </c>
      <c r="B60">
        <v>2272</v>
      </c>
      <c r="C60">
        <v>160</v>
      </c>
      <c r="D60">
        <v>190</v>
      </c>
      <c r="E60">
        <f t="shared" si="0"/>
        <v>17.5</v>
      </c>
      <c r="F60" t="str">
        <f t="shared" si="1"/>
        <v>középkemény víz</v>
      </c>
      <c r="G60" t="str">
        <f t="shared" si="2"/>
        <v>középkemény víz</v>
      </c>
    </row>
    <row r="61" spans="1:7" x14ac:dyDescent="0.25">
      <c r="A61" t="s">
        <v>76</v>
      </c>
      <c r="B61">
        <v>726</v>
      </c>
      <c r="C61">
        <v>240</v>
      </c>
      <c r="D61">
        <v>260</v>
      </c>
      <c r="E61">
        <f t="shared" si="0"/>
        <v>25</v>
      </c>
      <c r="F61" t="str">
        <f t="shared" si="1"/>
        <v>nem szolgáltatható</v>
      </c>
      <c r="G61" t="str">
        <f t="shared" si="2"/>
        <v>kemény víz</v>
      </c>
    </row>
    <row r="62" spans="1:7" x14ac:dyDescent="0.25">
      <c r="A62" t="s">
        <v>77</v>
      </c>
      <c r="B62">
        <v>138</v>
      </c>
      <c r="C62">
        <v>180</v>
      </c>
      <c r="D62">
        <v>180</v>
      </c>
      <c r="E62">
        <f t="shared" si="0"/>
        <v>18</v>
      </c>
      <c r="F62" t="str">
        <f t="shared" si="1"/>
        <v>középkemény víz</v>
      </c>
      <c r="G62" t="str">
        <f t="shared" si="2"/>
        <v>középkemény víz</v>
      </c>
    </row>
    <row r="63" spans="1:7" x14ac:dyDescent="0.25">
      <c r="A63" t="s">
        <v>78</v>
      </c>
      <c r="B63">
        <v>987</v>
      </c>
      <c r="C63">
        <v>95</v>
      </c>
      <c r="D63">
        <v>105</v>
      </c>
      <c r="E63">
        <f t="shared" si="0"/>
        <v>10</v>
      </c>
      <c r="F63" t="str">
        <f t="shared" si="1"/>
        <v>lágy víz</v>
      </c>
      <c r="G63" t="str">
        <f t="shared" si="2"/>
        <v>lágy víz</v>
      </c>
    </row>
    <row r="64" spans="1:7" x14ac:dyDescent="0.25">
      <c r="A64" t="s">
        <v>79</v>
      </c>
      <c r="B64">
        <v>2135</v>
      </c>
      <c r="C64">
        <v>180</v>
      </c>
      <c r="D64">
        <v>190</v>
      </c>
      <c r="E64">
        <f t="shared" si="0"/>
        <v>18.5</v>
      </c>
      <c r="F64" t="str">
        <f t="shared" si="1"/>
        <v>középkemény víz</v>
      </c>
      <c r="G64" t="str">
        <f t="shared" si="2"/>
        <v>középkemény víz</v>
      </c>
    </row>
    <row r="65" spans="1:7" x14ac:dyDescent="0.25">
      <c r="A65" t="s">
        <v>80</v>
      </c>
      <c r="B65">
        <v>1769</v>
      </c>
      <c r="C65">
        <v>150</v>
      </c>
      <c r="D65">
        <v>160</v>
      </c>
      <c r="E65">
        <f t="shared" si="0"/>
        <v>15.5</v>
      </c>
      <c r="F65" t="str">
        <f t="shared" si="1"/>
        <v>középkemény víz</v>
      </c>
      <c r="G65" t="str">
        <f t="shared" si="2"/>
        <v>középkemény víz</v>
      </c>
    </row>
    <row r="66" spans="1:7" x14ac:dyDescent="0.25">
      <c r="A66" t="s">
        <v>81</v>
      </c>
      <c r="B66">
        <v>5969</v>
      </c>
      <c r="C66">
        <v>240</v>
      </c>
      <c r="D66">
        <v>260</v>
      </c>
      <c r="E66">
        <f t="shared" si="0"/>
        <v>25</v>
      </c>
      <c r="F66" t="str">
        <f t="shared" si="1"/>
        <v>nem szolgáltatható</v>
      </c>
      <c r="G66" t="str">
        <f t="shared" si="2"/>
        <v>kemény víz</v>
      </c>
    </row>
    <row r="67" spans="1:7" x14ac:dyDescent="0.25">
      <c r="A67" t="s">
        <v>82</v>
      </c>
      <c r="B67">
        <v>809</v>
      </c>
      <c r="C67">
        <v>120</v>
      </c>
      <c r="D67">
        <v>140</v>
      </c>
      <c r="E67">
        <f t="shared" ref="E67:E119" si="4">ROUND(AVERAGE(C67:D67)/10,1)</f>
        <v>13</v>
      </c>
      <c r="F67" t="str">
        <f t="shared" ref="F67:F119" si="5">IF(E67&lt;$H$3,$I$3,IF(E67&lt;$H$4,$I$3,IF(E67&lt;$H$5,$I$4,IF($H$6&lt;$I$5,$I$6))))</f>
        <v>lágy víz</v>
      </c>
      <c r="G67" t="str">
        <f t="shared" ref="G67:G119" si="6">VLOOKUP(E67,$H$2:$I$6,2,TRUE)</f>
        <v>lágy víz</v>
      </c>
    </row>
    <row r="68" spans="1:7" x14ac:dyDescent="0.25">
      <c r="A68" t="s">
        <v>83</v>
      </c>
      <c r="B68">
        <v>2406</v>
      </c>
      <c r="C68">
        <v>160</v>
      </c>
      <c r="D68">
        <v>190</v>
      </c>
      <c r="E68">
        <f t="shared" si="4"/>
        <v>17.5</v>
      </c>
      <c r="F68" t="str">
        <f t="shared" si="5"/>
        <v>középkemény víz</v>
      </c>
      <c r="G68" t="str">
        <f t="shared" si="6"/>
        <v>középkemény víz</v>
      </c>
    </row>
    <row r="69" spans="1:7" x14ac:dyDescent="0.25">
      <c r="A69" t="s">
        <v>84</v>
      </c>
      <c r="B69">
        <v>1761</v>
      </c>
      <c r="C69">
        <v>85</v>
      </c>
      <c r="D69">
        <v>95</v>
      </c>
      <c r="E69">
        <f t="shared" si="4"/>
        <v>9</v>
      </c>
      <c r="F69" t="str">
        <f t="shared" si="5"/>
        <v>lágy víz</v>
      </c>
      <c r="G69" t="str">
        <f t="shared" si="6"/>
        <v>lágy víz</v>
      </c>
    </row>
    <row r="70" spans="1:7" x14ac:dyDescent="0.25">
      <c r="A70" t="s">
        <v>85</v>
      </c>
      <c r="B70">
        <v>2406</v>
      </c>
      <c r="C70">
        <v>190</v>
      </c>
      <c r="D70">
        <v>200</v>
      </c>
      <c r="E70">
        <f t="shared" si="4"/>
        <v>19.5</v>
      </c>
      <c r="F70" t="str">
        <f t="shared" si="5"/>
        <v>középkemény víz</v>
      </c>
      <c r="G70" t="str">
        <f t="shared" si="6"/>
        <v>középkemény víz</v>
      </c>
    </row>
    <row r="71" spans="1:7" x14ac:dyDescent="0.25">
      <c r="A71" t="s">
        <v>86</v>
      </c>
      <c r="B71">
        <v>1886</v>
      </c>
      <c r="C71">
        <v>100</v>
      </c>
      <c r="D71">
        <v>120</v>
      </c>
      <c r="E71">
        <f t="shared" si="4"/>
        <v>11</v>
      </c>
      <c r="F71" t="str">
        <f t="shared" si="5"/>
        <v>lágy víz</v>
      </c>
      <c r="G71" t="str">
        <f t="shared" si="6"/>
        <v>lágy víz</v>
      </c>
    </row>
    <row r="72" spans="1:7" x14ac:dyDescent="0.25">
      <c r="A72" t="s">
        <v>87</v>
      </c>
      <c r="B72">
        <v>465</v>
      </c>
      <c r="C72">
        <v>230</v>
      </c>
      <c r="D72">
        <v>330</v>
      </c>
      <c r="E72">
        <f t="shared" si="4"/>
        <v>28</v>
      </c>
      <c r="F72" t="str">
        <f t="shared" si="5"/>
        <v>nem szolgáltatható</v>
      </c>
      <c r="G72" t="str">
        <f t="shared" si="6"/>
        <v>kemény víz</v>
      </c>
    </row>
    <row r="73" spans="1:7" x14ac:dyDescent="0.25">
      <c r="A73" t="s">
        <v>88</v>
      </c>
      <c r="B73">
        <v>465</v>
      </c>
      <c r="C73">
        <v>180</v>
      </c>
      <c r="D73">
        <v>190</v>
      </c>
      <c r="E73">
        <f t="shared" si="4"/>
        <v>18.5</v>
      </c>
      <c r="F73" t="str">
        <f t="shared" si="5"/>
        <v>középkemény víz</v>
      </c>
      <c r="G73" t="str">
        <f t="shared" si="6"/>
        <v>középkemény víz</v>
      </c>
    </row>
    <row r="74" spans="1:7" x14ac:dyDescent="0.25">
      <c r="A74" t="s">
        <v>89</v>
      </c>
      <c r="B74">
        <v>465</v>
      </c>
      <c r="C74">
        <v>180</v>
      </c>
      <c r="D74">
        <v>190</v>
      </c>
      <c r="E74">
        <f t="shared" si="4"/>
        <v>18.5</v>
      </c>
      <c r="F74" t="str">
        <f t="shared" si="5"/>
        <v>középkemény víz</v>
      </c>
      <c r="G74" t="str">
        <f t="shared" si="6"/>
        <v>középkemény víz</v>
      </c>
    </row>
    <row r="75" spans="1:7" x14ac:dyDescent="0.25">
      <c r="A75" t="s">
        <v>90</v>
      </c>
      <c r="B75">
        <v>465</v>
      </c>
      <c r="C75">
        <v>180</v>
      </c>
      <c r="D75">
        <v>190</v>
      </c>
      <c r="E75">
        <f t="shared" si="4"/>
        <v>18.5</v>
      </c>
      <c r="F75" t="str">
        <f t="shared" si="5"/>
        <v>középkemény víz</v>
      </c>
      <c r="G75" t="str">
        <f t="shared" si="6"/>
        <v>középkemény víz</v>
      </c>
    </row>
    <row r="76" spans="1:7" x14ac:dyDescent="0.25">
      <c r="A76" t="s">
        <v>91</v>
      </c>
      <c r="B76">
        <v>1600</v>
      </c>
      <c r="C76">
        <v>130</v>
      </c>
      <c r="D76">
        <v>140</v>
      </c>
      <c r="E76">
        <f t="shared" si="4"/>
        <v>13.5</v>
      </c>
      <c r="F76" t="str">
        <f t="shared" si="5"/>
        <v>lágy víz</v>
      </c>
      <c r="G76" t="str">
        <f t="shared" si="6"/>
        <v>lágy víz</v>
      </c>
    </row>
    <row r="77" spans="1:7" x14ac:dyDescent="0.25">
      <c r="A77" t="s">
        <v>92</v>
      </c>
      <c r="B77">
        <v>1923</v>
      </c>
      <c r="C77">
        <v>120</v>
      </c>
      <c r="D77">
        <v>140</v>
      </c>
      <c r="E77">
        <f t="shared" si="4"/>
        <v>13</v>
      </c>
      <c r="F77" t="str">
        <f t="shared" si="5"/>
        <v>lágy víz</v>
      </c>
      <c r="G77" t="str">
        <f t="shared" si="6"/>
        <v>lágy víz</v>
      </c>
    </row>
    <row r="78" spans="1:7" x14ac:dyDescent="0.25">
      <c r="A78" t="s">
        <v>93</v>
      </c>
      <c r="B78">
        <v>586</v>
      </c>
      <c r="C78">
        <v>240</v>
      </c>
      <c r="D78">
        <v>260</v>
      </c>
      <c r="E78">
        <f t="shared" si="4"/>
        <v>25</v>
      </c>
      <c r="F78" t="str">
        <f t="shared" si="5"/>
        <v>nem szolgáltatható</v>
      </c>
      <c r="G78" t="str">
        <f t="shared" si="6"/>
        <v>kemény víz</v>
      </c>
    </row>
    <row r="79" spans="1:7" x14ac:dyDescent="0.25">
      <c r="A79" t="s">
        <v>94</v>
      </c>
      <c r="B79">
        <v>3111</v>
      </c>
      <c r="C79">
        <v>150</v>
      </c>
      <c r="D79">
        <v>160</v>
      </c>
      <c r="E79">
        <f t="shared" si="4"/>
        <v>15.5</v>
      </c>
      <c r="F79" t="str">
        <f t="shared" si="5"/>
        <v>középkemény víz</v>
      </c>
      <c r="G79" t="str">
        <f t="shared" si="6"/>
        <v>középkemény víz</v>
      </c>
    </row>
    <row r="80" spans="1:7" x14ac:dyDescent="0.25">
      <c r="A80" t="s">
        <v>95</v>
      </c>
      <c r="B80">
        <v>865</v>
      </c>
      <c r="C80">
        <v>160</v>
      </c>
      <c r="D80">
        <v>190</v>
      </c>
      <c r="E80">
        <f t="shared" si="4"/>
        <v>17.5</v>
      </c>
      <c r="F80" t="str">
        <f t="shared" si="5"/>
        <v>középkemény víz</v>
      </c>
      <c r="G80" t="str">
        <f t="shared" si="6"/>
        <v>középkemény víz</v>
      </c>
    </row>
    <row r="81" spans="1:7" x14ac:dyDescent="0.25">
      <c r="A81" t="s">
        <v>96</v>
      </c>
      <c r="B81">
        <v>681</v>
      </c>
      <c r="C81">
        <v>120</v>
      </c>
      <c r="D81">
        <v>140</v>
      </c>
      <c r="E81">
        <f t="shared" si="4"/>
        <v>13</v>
      </c>
      <c r="F81" t="str">
        <f t="shared" si="5"/>
        <v>lágy víz</v>
      </c>
      <c r="G81" t="str">
        <f t="shared" si="6"/>
        <v>lágy víz</v>
      </c>
    </row>
    <row r="82" spans="1:7" x14ac:dyDescent="0.25">
      <c r="A82" t="s">
        <v>97</v>
      </c>
      <c r="B82">
        <v>935</v>
      </c>
      <c r="C82">
        <v>170</v>
      </c>
      <c r="D82">
        <v>180</v>
      </c>
      <c r="E82">
        <f t="shared" si="4"/>
        <v>17.5</v>
      </c>
      <c r="F82" t="str">
        <f t="shared" si="5"/>
        <v>középkemény víz</v>
      </c>
      <c r="G82" t="str">
        <f t="shared" si="6"/>
        <v>középkemény víz</v>
      </c>
    </row>
    <row r="83" spans="1:7" x14ac:dyDescent="0.25">
      <c r="A83" t="s">
        <v>98</v>
      </c>
      <c r="B83">
        <v>1825</v>
      </c>
      <c r="C83">
        <v>155</v>
      </c>
      <c r="D83">
        <v>165</v>
      </c>
      <c r="E83">
        <f t="shared" si="4"/>
        <v>16</v>
      </c>
      <c r="F83" t="str">
        <f t="shared" si="5"/>
        <v>középkemény víz</v>
      </c>
      <c r="G83" t="str">
        <f t="shared" si="6"/>
        <v>középkemény víz</v>
      </c>
    </row>
    <row r="84" spans="1:7" x14ac:dyDescent="0.25">
      <c r="A84" t="s">
        <v>99</v>
      </c>
      <c r="B84">
        <v>1406</v>
      </c>
      <c r="C84">
        <v>160</v>
      </c>
      <c r="D84">
        <v>190</v>
      </c>
      <c r="E84">
        <f t="shared" si="4"/>
        <v>17.5</v>
      </c>
      <c r="F84" t="str">
        <f t="shared" si="5"/>
        <v>középkemény víz</v>
      </c>
      <c r="G84" t="str">
        <f t="shared" si="6"/>
        <v>középkemény víz</v>
      </c>
    </row>
    <row r="85" spans="1:7" x14ac:dyDescent="0.25">
      <c r="A85" t="s">
        <v>100</v>
      </c>
      <c r="B85">
        <v>2640</v>
      </c>
      <c r="C85">
        <v>160</v>
      </c>
      <c r="D85">
        <v>190</v>
      </c>
      <c r="E85">
        <f t="shared" si="4"/>
        <v>17.5</v>
      </c>
      <c r="F85" t="str">
        <f t="shared" si="5"/>
        <v>középkemény víz</v>
      </c>
      <c r="G85" t="str">
        <f t="shared" si="6"/>
        <v>középkemény víz</v>
      </c>
    </row>
    <row r="86" spans="1:7" x14ac:dyDescent="0.25">
      <c r="A86" t="s">
        <v>101</v>
      </c>
      <c r="B86">
        <v>673</v>
      </c>
      <c r="C86">
        <v>80</v>
      </c>
      <c r="D86">
        <v>90</v>
      </c>
      <c r="E86">
        <f t="shared" si="4"/>
        <v>8.5</v>
      </c>
      <c r="F86" t="str">
        <f t="shared" si="5"/>
        <v>lágy víz</v>
      </c>
      <c r="G86" t="str">
        <f t="shared" si="6"/>
        <v>lágy víz</v>
      </c>
    </row>
    <row r="87" spans="1:7" x14ac:dyDescent="0.25">
      <c r="A87" t="s">
        <v>102</v>
      </c>
      <c r="B87">
        <v>1344</v>
      </c>
      <c r="C87">
        <v>40</v>
      </c>
      <c r="D87">
        <v>50</v>
      </c>
      <c r="E87">
        <f t="shared" si="4"/>
        <v>4.5</v>
      </c>
      <c r="F87" t="str">
        <f t="shared" si="5"/>
        <v>lágy víz</v>
      </c>
      <c r="G87" t="str">
        <f t="shared" si="6"/>
        <v>nagyon lágy víz</v>
      </c>
    </row>
    <row r="88" spans="1:7" x14ac:dyDescent="0.25">
      <c r="A88" t="s">
        <v>103</v>
      </c>
      <c r="B88">
        <v>2768</v>
      </c>
      <c r="C88">
        <v>240</v>
      </c>
      <c r="D88">
        <v>260</v>
      </c>
      <c r="E88">
        <f t="shared" si="4"/>
        <v>25</v>
      </c>
      <c r="F88" t="str">
        <f t="shared" si="5"/>
        <v>nem szolgáltatható</v>
      </c>
      <c r="G88" t="str">
        <f t="shared" si="6"/>
        <v>kemény víz</v>
      </c>
    </row>
    <row r="89" spans="1:7" x14ac:dyDescent="0.25">
      <c r="A89" t="s">
        <v>104</v>
      </c>
      <c r="B89">
        <v>2707</v>
      </c>
      <c r="C89">
        <v>180</v>
      </c>
      <c r="D89">
        <v>220</v>
      </c>
      <c r="E89">
        <f t="shared" si="4"/>
        <v>20</v>
      </c>
      <c r="F89" t="str">
        <f t="shared" si="5"/>
        <v>középkemény víz</v>
      </c>
      <c r="G89" t="str">
        <f t="shared" si="6"/>
        <v>középkemény víz</v>
      </c>
    </row>
    <row r="90" spans="1:7" x14ac:dyDescent="0.25">
      <c r="A90" t="s">
        <v>105</v>
      </c>
      <c r="B90">
        <v>1990</v>
      </c>
      <c r="C90">
        <v>110</v>
      </c>
      <c r="D90">
        <v>120</v>
      </c>
      <c r="E90">
        <f t="shared" si="4"/>
        <v>11.5</v>
      </c>
      <c r="F90" t="str">
        <f t="shared" si="5"/>
        <v>lágy víz</v>
      </c>
      <c r="G90" t="str">
        <f t="shared" si="6"/>
        <v>lágy víz</v>
      </c>
    </row>
    <row r="91" spans="1:7" x14ac:dyDescent="0.25">
      <c r="A91" t="s">
        <v>106</v>
      </c>
      <c r="B91">
        <v>1175</v>
      </c>
      <c r="C91">
        <v>50</v>
      </c>
      <c r="D91">
        <v>60</v>
      </c>
      <c r="E91">
        <f t="shared" si="4"/>
        <v>5.5</v>
      </c>
      <c r="F91" t="str">
        <f t="shared" si="5"/>
        <v>lágy víz</v>
      </c>
      <c r="G91" t="str">
        <f t="shared" si="6"/>
        <v>nagyon lágy víz</v>
      </c>
    </row>
    <row r="92" spans="1:7" x14ac:dyDescent="0.25">
      <c r="A92" t="s">
        <v>107</v>
      </c>
      <c r="B92">
        <v>1990</v>
      </c>
      <c r="C92">
        <v>170</v>
      </c>
      <c r="D92">
        <v>180</v>
      </c>
      <c r="E92">
        <f t="shared" si="4"/>
        <v>17.5</v>
      </c>
      <c r="F92" t="str">
        <f t="shared" si="5"/>
        <v>középkemény víz</v>
      </c>
      <c r="G92" t="str">
        <f t="shared" si="6"/>
        <v>középkemény víz</v>
      </c>
    </row>
    <row r="93" spans="1:7" x14ac:dyDescent="0.25">
      <c r="A93" t="s">
        <v>108</v>
      </c>
      <c r="B93">
        <v>382</v>
      </c>
      <c r="C93">
        <v>210</v>
      </c>
      <c r="D93">
        <v>230</v>
      </c>
      <c r="E93">
        <f t="shared" si="4"/>
        <v>22</v>
      </c>
      <c r="F93" t="str">
        <f t="shared" si="5"/>
        <v>nem szolgáltatható</v>
      </c>
      <c r="G93" t="str">
        <f t="shared" si="6"/>
        <v>kemény víz</v>
      </c>
    </row>
    <row r="94" spans="1:7" x14ac:dyDescent="0.25">
      <c r="A94" t="s">
        <v>109</v>
      </c>
      <c r="B94">
        <v>450</v>
      </c>
      <c r="C94">
        <v>180</v>
      </c>
      <c r="D94">
        <v>190</v>
      </c>
      <c r="E94">
        <f t="shared" si="4"/>
        <v>18.5</v>
      </c>
      <c r="F94" t="str">
        <f t="shared" si="5"/>
        <v>középkemény víz</v>
      </c>
      <c r="G94" t="str">
        <f t="shared" si="6"/>
        <v>középkemény víz</v>
      </c>
    </row>
    <row r="95" spans="1:7" x14ac:dyDescent="0.25">
      <c r="A95" t="s">
        <v>110</v>
      </c>
      <c r="B95">
        <v>1961</v>
      </c>
      <c r="C95">
        <v>155</v>
      </c>
      <c r="D95">
        <v>165</v>
      </c>
      <c r="E95">
        <f t="shared" si="4"/>
        <v>16</v>
      </c>
      <c r="F95" t="str">
        <f t="shared" si="5"/>
        <v>középkemény víz</v>
      </c>
      <c r="G95" t="str">
        <f t="shared" si="6"/>
        <v>középkemény víz</v>
      </c>
    </row>
    <row r="96" spans="1:7" x14ac:dyDescent="0.25">
      <c r="A96" t="s">
        <v>111</v>
      </c>
      <c r="B96">
        <v>1675</v>
      </c>
      <c r="C96">
        <v>160</v>
      </c>
      <c r="D96">
        <v>190</v>
      </c>
      <c r="E96">
        <f t="shared" si="4"/>
        <v>17.5</v>
      </c>
      <c r="F96" t="str">
        <f t="shared" si="5"/>
        <v>középkemény víz</v>
      </c>
      <c r="G96" t="str">
        <f t="shared" si="6"/>
        <v>középkemény víz</v>
      </c>
    </row>
    <row r="97" spans="1:7" x14ac:dyDescent="0.25">
      <c r="A97" t="s">
        <v>112</v>
      </c>
      <c r="B97">
        <v>416</v>
      </c>
      <c r="C97">
        <v>160</v>
      </c>
      <c r="D97">
        <v>170</v>
      </c>
      <c r="E97">
        <f t="shared" si="4"/>
        <v>16.5</v>
      </c>
      <c r="F97" t="str">
        <f t="shared" si="5"/>
        <v>középkemény víz</v>
      </c>
      <c r="G97" t="str">
        <f t="shared" si="6"/>
        <v>középkemény víz</v>
      </c>
    </row>
    <row r="98" spans="1:7" x14ac:dyDescent="0.25">
      <c r="A98" t="s">
        <v>113</v>
      </c>
      <c r="B98">
        <v>416</v>
      </c>
      <c r="C98">
        <v>130</v>
      </c>
      <c r="D98">
        <v>140</v>
      </c>
      <c r="E98">
        <f t="shared" si="4"/>
        <v>13.5</v>
      </c>
      <c r="F98" t="str">
        <f t="shared" si="5"/>
        <v>lágy víz</v>
      </c>
      <c r="G98" t="str">
        <f t="shared" si="6"/>
        <v>lágy víz</v>
      </c>
    </row>
    <row r="99" spans="1:7" x14ac:dyDescent="0.25">
      <c r="A99" t="s">
        <v>114</v>
      </c>
      <c r="B99">
        <v>1578</v>
      </c>
      <c r="C99">
        <v>180</v>
      </c>
      <c r="D99">
        <v>190</v>
      </c>
      <c r="E99">
        <f t="shared" si="4"/>
        <v>18.5</v>
      </c>
      <c r="F99" t="str">
        <f t="shared" si="5"/>
        <v>középkemény víz</v>
      </c>
      <c r="G99" t="str">
        <f t="shared" si="6"/>
        <v>középkemény víz</v>
      </c>
    </row>
    <row r="100" spans="1:7" x14ac:dyDescent="0.25">
      <c r="A100" t="s">
        <v>115</v>
      </c>
      <c r="B100">
        <v>687</v>
      </c>
      <c r="C100">
        <v>170</v>
      </c>
      <c r="D100">
        <v>180</v>
      </c>
      <c r="E100">
        <f t="shared" si="4"/>
        <v>17.5</v>
      </c>
      <c r="F100" t="str">
        <f t="shared" si="5"/>
        <v>középkemény víz</v>
      </c>
      <c r="G100" t="str">
        <f t="shared" si="6"/>
        <v>középkemény víz</v>
      </c>
    </row>
    <row r="101" spans="1:7" x14ac:dyDescent="0.25">
      <c r="A101" t="s">
        <v>116</v>
      </c>
      <c r="B101">
        <v>1607</v>
      </c>
      <c r="C101">
        <v>110</v>
      </c>
      <c r="D101">
        <v>130</v>
      </c>
      <c r="E101">
        <f t="shared" si="4"/>
        <v>12</v>
      </c>
      <c r="F101" t="str">
        <f t="shared" si="5"/>
        <v>lágy víz</v>
      </c>
      <c r="G101" t="str">
        <f t="shared" si="6"/>
        <v>lágy víz</v>
      </c>
    </row>
    <row r="102" spans="1:7" x14ac:dyDescent="0.25">
      <c r="A102" t="s">
        <v>117</v>
      </c>
      <c r="B102">
        <v>1800</v>
      </c>
      <c r="C102">
        <v>160</v>
      </c>
      <c r="D102">
        <v>170</v>
      </c>
      <c r="E102">
        <f t="shared" si="4"/>
        <v>16.5</v>
      </c>
      <c r="F102" t="str">
        <f t="shared" si="5"/>
        <v>középkemény víz</v>
      </c>
      <c r="G102" t="str">
        <f t="shared" si="6"/>
        <v>középkemény víz</v>
      </c>
    </row>
    <row r="103" spans="1:7" x14ac:dyDescent="0.25">
      <c r="A103" t="s">
        <v>118</v>
      </c>
      <c r="B103">
        <v>834</v>
      </c>
      <c r="C103">
        <v>25</v>
      </c>
      <c r="D103">
        <v>30</v>
      </c>
      <c r="E103">
        <f t="shared" si="4"/>
        <v>2.8</v>
      </c>
      <c r="F103" t="str">
        <f t="shared" si="5"/>
        <v>lágy víz</v>
      </c>
      <c r="G103" t="str">
        <f t="shared" si="6"/>
        <v>nagyon lágy víz</v>
      </c>
    </row>
    <row r="104" spans="1:7" x14ac:dyDescent="0.25">
      <c r="A104" t="s">
        <v>119</v>
      </c>
      <c r="B104">
        <v>1207</v>
      </c>
      <c r="C104">
        <v>110</v>
      </c>
      <c r="D104">
        <v>130</v>
      </c>
      <c r="E104">
        <f t="shared" si="4"/>
        <v>12</v>
      </c>
      <c r="F104" t="str">
        <f t="shared" si="5"/>
        <v>lágy víz</v>
      </c>
      <c r="G104" t="str">
        <f t="shared" si="6"/>
        <v>lágy víz</v>
      </c>
    </row>
    <row r="105" spans="1:7" x14ac:dyDescent="0.25">
      <c r="A105" t="s">
        <v>120</v>
      </c>
      <c r="B105">
        <v>1159</v>
      </c>
      <c r="C105">
        <v>180</v>
      </c>
      <c r="D105">
        <v>195</v>
      </c>
      <c r="E105">
        <f t="shared" si="4"/>
        <v>18.8</v>
      </c>
      <c r="F105" t="str">
        <f t="shared" si="5"/>
        <v>középkemény víz</v>
      </c>
      <c r="G105" t="str">
        <f t="shared" si="6"/>
        <v>középkemény víz</v>
      </c>
    </row>
    <row r="106" spans="1:7" x14ac:dyDescent="0.25">
      <c r="A106" t="s">
        <v>121</v>
      </c>
      <c r="B106">
        <v>198</v>
      </c>
      <c r="C106">
        <v>180</v>
      </c>
      <c r="D106">
        <v>190</v>
      </c>
      <c r="E106">
        <f t="shared" si="4"/>
        <v>18.5</v>
      </c>
      <c r="F106" t="str">
        <f t="shared" si="5"/>
        <v>középkemény víz</v>
      </c>
      <c r="G106" t="str">
        <f t="shared" si="6"/>
        <v>középkemény víz</v>
      </c>
    </row>
    <row r="107" spans="1:7" x14ac:dyDescent="0.25">
      <c r="A107" t="s">
        <v>122</v>
      </c>
      <c r="B107">
        <v>198</v>
      </c>
      <c r="C107">
        <v>170</v>
      </c>
      <c r="D107">
        <v>180</v>
      </c>
      <c r="E107">
        <f t="shared" si="4"/>
        <v>17.5</v>
      </c>
      <c r="F107" t="str">
        <f t="shared" si="5"/>
        <v>középkemény víz</v>
      </c>
      <c r="G107" t="str">
        <f t="shared" si="6"/>
        <v>középkemény víz</v>
      </c>
    </row>
    <row r="108" spans="1:7" x14ac:dyDescent="0.25">
      <c r="A108" t="s">
        <v>123</v>
      </c>
      <c r="B108">
        <v>198</v>
      </c>
      <c r="C108">
        <v>110</v>
      </c>
      <c r="D108">
        <v>120</v>
      </c>
      <c r="E108">
        <f t="shared" si="4"/>
        <v>11.5</v>
      </c>
      <c r="F108" t="str">
        <f t="shared" si="5"/>
        <v>lágy víz</v>
      </c>
      <c r="G108" t="str">
        <f t="shared" si="6"/>
        <v>lágy víz</v>
      </c>
    </row>
    <row r="109" spans="1:7" x14ac:dyDescent="0.25">
      <c r="A109" t="s">
        <v>124</v>
      </c>
      <c r="B109">
        <v>2317</v>
      </c>
      <c r="C109">
        <v>50</v>
      </c>
      <c r="D109">
        <v>60</v>
      </c>
      <c r="E109">
        <f t="shared" si="4"/>
        <v>5.5</v>
      </c>
      <c r="F109" t="str">
        <f t="shared" si="5"/>
        <v>lágy víz</v>
      </c>
      <c r="G109" t="str">
        <f t="shared" si="6"/>
        <v>nagyon lágy víz</v>
      </c>
    </row>
    <row r="110" spans="1:7" x14ac:dyDescent="0.25">
      <c r="A110" t="s">
        <v>125</v>
      </c>
      <c r="B110">
        <v>2317</v>
      </c>
      <c r="C110">
        <v>170</v>
      </c>
      <c r="D110">
        <v>180</v>
      </c>
      <c r="E110">
        <f t="shared" si="4"/>
        <v>17.5</v>
      </c>
      <c r="F110" t="str">
        <f t="shared" si="5"/>
        <v>középkemény víz</v>
      </c>
      <c r="G110" t="str">
        <f t="shared" si="6"/>
        <v>középkemény víz</v>
      </c>
    </row>
    <row r="111" spans="1:7" x14ac:dyDescent="0.25">
      <c r="A111" t="s">
        <v>126</v>
      </c>
      <c r="B111">
        <v>553</v>
      </c>
      <c r="C111">
        <v>180</v>
      </c>
      <c r="D111">
        <v>190</v>
      </c>
      <c r="E111">
        <f t="shared" si="4"/>
        <v>18.5</v>
      </c>
      <c r="F111" t="str">
        <f t="shared" si="5"/>
        <v>középkemény víz</v>
      </c>
      <c r="G111" t="str">
        <f t="shared" si="6"/>
        <v>középkemény víz</v>
      </c>
    </row>
    <row r="112" spans="1:7" x14ac:dyDescent="0.25">
      <c r="A112" t="s">
        <v>127</v>
      </c>
      <c r="B112">
        <v>506</v>
      </c>
      <c r="C112">
        <v>100</v>
      </c>
      <c r="D112">
        <v>110</v>
      </c>
      <c r="E112">
        <f t="shared" si="4"/>
        <v>10.5</v>
      </c>
      <c r="F112" t="str">
        <f t="shared" si="5"/>
        <v>lágy víz</v>
      </c>
      <c r="G112" t="str">
        <f t="shared" si="6"/>
        <v>lágy víz</v>
      </c>
    </row>
    <row r="113" spans="1:7" x14ac:dyDescent="0.25">
      <c r="A113" t="s">
        <v>128</v>
      </c>
      <c r="B113">
        <v>1934</v>
      </c>
      <c r="C113">
        <v>200</v>
      </c>
      <c r="D113">
        <v>210</v>
      </c>
      <c r="E113">
        <f t="shared" si="4"/>
        <v>20.5</v>
      </c>
      <c r="F113" t="str">
        <f t="shared" si="5"/>
        <v>középkemény víz</v>
      </c>
      <c r="G113" t="str">
        <f t="shared" si="6"/>
        <v>középkemény víz</v>
      </c>
    </row>
    <row r="114" spans="1:7" x14ac:dyDescent="0.25">
      <c r="A114" t="s">
        <v>129</v>
      </c>
      <c r="B114">
        <v>595</v>
      </c>
      <c r="C114">
        <v>75</v>
      </c>
      <c r="D114">
        <v>85</v>
      </c>
      <c r="E114">
        <f t="shared" si="4"/>
        <v>8</v>
      </c>
      <c r="F114" t="str">
        <f t="shared" si="5"/>
        <v>lágy víz</v>
      </c>
      <c r="G114" t="str">
        <f t="shared" si="6"/>
        <v>lágy víz</v>
      </c>
    </row>
    <row r="115" spans="1:7" x14ac:dyDescent="0.25">
      <c r="A115" t="s">
        <v>130</v>
      </c>
      <c r="B115">
        <v>3824</v>
      </c>
      <c r="C115">
        <v>240</v>
      </c>
      <c r="D115">
        <v>260</v>
      </c>
      <c r="E115">
        <f t="shared" si="4"/>
        <v>25</v>
      </c>
      <c r="F115" t="str">
        <f t="shared" si="5"/>
        <v>nem szolgáltatható</v>
      </c>
      <c r="G115" t="str">
        <f t="shared" si="6"/>
        <v>kemény víz</v>
      </c>
    </row>
    <row r="116" spans="1:7" x14ac:dyDescent="0.25">
      <c r="A116" t="s">
        <v>131</v>
      </c>
      <c r="B116">
        <v>1123</v>
      </c>
      <c r="C116">
        <v>120</v>
      </c>
      <c r="D116">
        <v>140</v>
      </c>
      <c r="E116">
        <f t="shared" si="4"/>
        <v>13</v>
      </c>
      <c r="F116" t="str">
        <f t="shared" si="5"/>
        <v>lágy víz</v>
      </c>
      <c r="G116" t="str">
        <f t="shared" si="6"/>
        <v>lágy víz</v>
      </c>
    </row>
    <row r="117" spans="1:7" x14ac:dyDescent="0.25">
      <c r="A117" t="s">
        <v>132</v>
      </c>
      <c r="B117">
        <v>1085</v>
      </c>
      <c r="C117">
        <v>140</v>
      </c>
      <c r="D117">
        <v>150</v>
      </c>
      <c r="E117">
        <f t="shared" si="4"/>
        <v>14.5</v>
      </c>
      <c r="F117" t="str">
        <f t="shared" si="5"/>
        <v>középkemény víz</v>
      </c>
      <c r="G117" t="str">
        <f t="shared" si="6"/>
        <v>középkemény víz</v>
      </c>
    </row>
    <row r="118" spans="1:7" x14ac:dyDescent="0.25">
      <c r="A118" t="s">
        <v>133</v>
      </c>
      <c r="B118">
        <v>1933</v>
      </c>
      <c r="C118">
        <v>240</v>
      </c>
      <c r="D118">
        <v>260</v>
      </c>
      <c r="E118">
        <f t="shared" si="4"/>
        <v>25</v>
      </c>
      <c r="F118" t="str">
        <f t="shared" si="5"/>
        <v>nem szolgáltatható</v>
      </c>
      <c r="G118" t="str">
        <f t="shared" si="6"/>
        <v>kemény víz</v>
      </c>
    </row>
    <row r="119" spans="1:7" x14ac:dyDescent="0.25">
      <c r="A119" t="s">
        <v>134</v>
      </c>
      <c r="B119">
        <v>416</v>
      </c>
      <c r="C119">
        <v>110</v>
      </c>
      <c r="D119">
        <v>130</v>
      </c>
      <c r="E119">
        <f t="shared" si="4"/>
        <v>12</v>
      </c>
      <c r="F119" t="str">
        <f t="shared" si="5"/>
        <v>lágy víz</v>
      </c>
      <c r="G119" t="str">
        <f t="shared" si="6"/>
        <v>lágy víz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2025-11-28T08:53:57Z</dcterms:created>
  <dcterms:modified xsi:type="dcterms:W3CDTF">2025-11-28T09:35:11Z</dcterms:modified>
</cp:coreProperties>
</file>