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5"/>
  <workbookPr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BD91A793-F21E-4395-9B0A-51FC004C274E}" xr6:coauthVersionLast="36" xr6:coauthVersionMax="36" xr10:uidLastSave="{00000000-0000-0000-0000-000000000000}"/>
  <bookViews>
    <workbookView xWindow="0" yWindow="0" windowWidth="24000" windowHeight="9525" xr2:uid="{00000000-000D-0000-FFFF-FFFF00000000}"/>
  </bookViews>
  <sheets>
    <sheet name="Félévek" sheetId="1" r:id="rId1"/>
  </sheets>
  <calcPr calcId="191029"/>
  <extLst>
    <ext uri="GoogleSheetsCustomDataVersion2">
      <go:sheetsCustomData xmlns:go="http://customooxmlschemas.google.com/" r:id="rId5" roundtripDataChecksum="i5wlgo2FL0plKHmkeh+ewIc8QctOpn7+LLPIGZEy1DE="/>
    </ext>
  </extLst>
</workbook>
</file>

<file path=xl/calcChain.xml><?xml version="1.0" encoding="utf-8"?>
<calcChain xmlns="http://schemas.openxmlformats.org/spreadsheetml/2006/main">
  <c r="AG3" i="1" l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2" i="1"/>
  <c r="AF19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2" i="1"/>
  <c r="AA19" i="1" l="1"/>
  <c r="R3" i="1" l="1"/>
  <c r="R4" i="1"/>
  <c r="R5" i="1"/>
  <c r="N5" i="1" s="1"/>
  <c r="R6" i="1"/>
  <c r="R7" i="1"/>
  <c r="R8" i="1"/>
  <c r="R9" i="1"/>
  <c r="N9" i="1" s="1"/>
  <c r="R10" i="1"/>
  <c r="R11" i="1"/>
  <c r="R12" i="1"/>
  <c r="R13" i="1"/>
  <c r="R14" i="1"/>
  <c r="R15" i="1"/>
  <c r="R16" i="1"/>
  <c r="R17" i="1"/>
  <c r="R18" i="1"/>
  <c r="R2" i="1"/>
  <c r="P3" i="1"/>
  <c r="P4" i="1"/>
  <c r="P5" i="1"/>
  <c r="P6" i="1"/>
  <c r="O6" i="1" s="1"/>
  <c r="P7" i="1"/>
  <c r="P8" i="1"/>
  <c r="P9" i="1"/>
  <c r="P10" i="1"/>
  <c r="P11" i="1"/>
  <c r="P12" i="1"/>
  <c r="O12" i="1" s="1"/>
  <c r="P13" i="1"/>
  <c r="P14" i="1"/>
  <c r="P15" i="1"/>
  <c r="P16" i="1"/>
  <c r="P17" i="1"/>
  <c r="P18" i="1"/>
  <c r="O18" i="1" s="1"/>
  <c r="P2" i="1"/>
  <c r="O4" i="1" l="1"/>
  <c r="U16" i="1"/>
  <c r="AA16" i="1"/>
  <c r="U17" i="1"/>
  <c r="AA17" i="1"/>
  <c r="U11" i="1"/>
  <c r="AA11" i="1"/>
  <c r="O17" i="1"/>
  <c r="O11" i="1"/>
  <c r="O5" i="1"/>
  <c r="U10" i="1"/>
  <c r="AA10" i="1"/>
  <c r="U4" i="1"/>
  <c r="AA4" i="1"/>
  <c r="O16" i="1"/>
  <c r="O10" i="1"/>
  <c r="U15" i="1"/>
  <c r="AA15" i="1"/>
  <c r="U9" i="1"/>
  <c r="AA9" i="1"/>
  <c r="U3" i="1"/>
  <c r="AA3" i="1"/>
  <c r="N3" i="1"/>
  <c r="O15" i="1"/>
  <c r="O9" i="1"/>
  <c r="O3" i="1"/>
  <c r="U14" i="1"/>
  <c r="AA14" i="1"/>
  <c r="U8" i="1"/>
  <c r="AA8" i="1"/>
  <c r="N17" i="1"/>
  <c r="O14" i="1"/>
  <c r="O8" i="1"/>
  <c r="U2" i="1"/>
  <c r="AA2" i="1"/>
  <c r="U13" i="1"/>
  <c r="AA13" i="1"/>
  <c r="U7" i="1"/>
  <c r="AA7" i="1"/>
  <c r="N15" i="1"/>
  <c r="O2" i="1"/>
  <c r="O13" i="1"/>
  <c r="O7" i="1"/>
  <c r="U18" i="1"/>
  <c r="AA18" i="1"/>
  <c r="U12" i="1"/>
  <c r="AA12" i="1"/>
  <c r="U6" i="1"/>
  <c r="AA6" i="1"/>
  <c r="N11" i="1"/>
  <c r="U5" i="1"/>
  <c r="AA5" i="1"/>
  <c r="N14" i="1"/>
  <c r="N8" i="1"/>
  <c r="N2" i="1"/>
  <c r="V2" i="1" s="1"/>
  <c r="N13" i="1"/>
  <c r="N7" i="1"/>
  <c r="T2" i="1"/>
  <c r="N18" i="1"/>
  <c r="N12" i="1"/>
  <c r="N6" i="1"/>
  <c r="N16" i="1"/>
  <c r="N10" i="1"/>
  <c r="N4" i="1"/>
</calcChain>
</file>

<file path=xl/sharedStrings.xml><?xml version="1.0" encoding="utf-8"?>
<sst xmlns="http://schemas.openxmlformats.org/spreadsheetml/2006/main" count="49" uniqueCount="33">
  <si>
    <t>1. félév</t>
  </si>
  <si>
    <t>2. félév</t>
  </si>
  <si>
    <t>Kun Béla</t>
  </si>
  <si>
    <t>Kossuth Lajos</t>
  </si>
  <si>
    <t>Vezér Árpád</t>
  </si>
  <si>
    <t>Vezér Előd</t>
  </si>
  <si>
    <t>Deák Ferenc</t>
  </si>
  <si>
    <t>József Attila</t>
  </si>
  <si>
    <t>Tisza István</t>
  </si>
  <si>
    <t>Mária Terézia</t>
  </si>
  <si>
    <t>Neumann János</t>
  </si>
  <si>
    <t>Petőfi Sándor</t>
  </si>
  <si>
    <t>Rákóczi Ferenc</t>
  </si>
  <si>
    <t>Dózsa György</t>
  </si>
  <si>
    <t>Teller Ede</t>
  </si>
  <si>
    <t>Einstein Albert</t>
  </si>
  <si>
    <t>Gábor Dénes</t>
  </si>
  <si>
    <t>Öveges József</t>
  </si>
  <si>
    <t>Vezetéknév</t>
  </si>
  <si>
    <t>Keresztnév</t>
  </si>
  <si>
    <t>Teljes hossz</t>
  </si>
  <si>
    <t>Szóköz helye</t>
  </si>
  <si>
    <t>Vermes Miklós Géza</t>
  </si>
  <si>
    <t>Monogram</t>
  </si>
  <si>
    <t>2023vezket</t>
  </si>
  <si>
    <t>vez</t>
  </si>
  <si>
    <t>ke</t>
  </si>
  <si>
    <t>t</t>
  </si>
  <si>
    <t>9.e</t>
  </si>
  <si>
    <t>Felhasználónév</t>
  </si>
  <si>
    <t>NAGYBETŰVEL A NÉV</t>
  </si>
  <si>
    <t>renegát:</t>
  </si>
  <si>
    <t>deák ferenc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</si>
</sst>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2"/>
      <color theme="1"/>
      <name val="Arial"/>
    </font>
    <font>
      <b/>
      <sz val="12"/>
      <color theme="1"/>
      <name val="Arial"/>
      <family val="2"/>
      <charset val="238"/>
    </font>
    <font>
      <sz val="12"/>
      <color rgb="FF000000"/>
      <name val="Arial"/>
      <family val="2"/>
      <charset val="238"/>
      <scheme val="minor"/>
    </font>
    <font>
      <sz val="10"/>
      <color rgb="FF000000"/>
      <name val="Arial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00"/>
  <sheetViews>
    <sheetView tabSelected="1" topLeftCell="U1" workbookViewId="0">
      <selection activeCell="AJ2" sqref="AJ2"/>
    </sheetView>
  </sheetViews>
  <sheetFormatPr defaultColWidth="12.5703125" defaultRowHeight="15" customHeight="1" x14ac:dyDescent="0.2"/>
  <cols>
    <col min="1" max="2" width="9.140625" customWidth="1"/>
    <col min="3" max="3" width="16" customWidth="1"/>
    <col min="4" max="12" width="9.140625" customWidth="1"/>
    <col min="13" max="13" width="8" customWidth="1"/>
    <col min="14" max="14" width="16.28515625" customWidth="1"/>
    <col min="15" max="15" width="24.140625" customWidth="1"/>
    <col min="16" max="16" width="15.85546875" customWidth="1"/>
    <col min="17" max="17" width="8" customWidth="1"/>
    <col min="18" max="18" width="16.28515625" customWidth="1"/>
    <col min="19" max="25" width="8" customWidth="1"/>
    <col min="26" max="26" width="7.7109375" customWidth="1"/>
    <col min="27" max="27" width="16.85546875" customWidth="1"/>
    <col min="28" max="28" width="25" customWidth="1"/>
    <col min="33" max="33" width="25" customWidth="1"/>
    <col min="34" max="34" width="21.5703125" customWidth="1"/>
  </cols>
  <sheetData>
    <row r="1" spans="1:36" ht="15.75" x14ac:dyDescent="0.25">
      <c r="A1" s="1"/>
      <c r="B1" s="1"/>
      <c r="C1" s="1"/>
      <c r="D1" s="1" t="s">
        <v>0</v>
      </c>
      <c r="E1" s="1"/>
      <c r="F1" s="1"/>
      <c r="G1" s="1"/>
      <c r="H1" s="1"/>
      <c r="I1" s="1" t="s">
        <v>1</v>
      </c>
      <c r="J1" s="1"/>
      <c r="K1" s="1"/>
      <c r="L1" s="1"/>
      <c r="M1" s="1"/>
      <c r="N1" s="2" t="s">
        <v>18</v>
      </c>
      <c r="O1" s="2" t="s">
        <v>19</v>
      </c>
      <c r="P1" s="2" t="s">
        <v>20</v>
      </c>
      <c r="Q1" s="2"/>
      <c r="R1" s="2" t="s">
        <v>21</v>
      </c>
      <c r="S1" s="1"/>
      <c r="T1" s="1"/>
      <c r="U1" s="1"/>
      <c r="V1" s="1"/>
      <c r="W1" s="1"/>
      <c r="X1" s="1"/>
      <c r="Y1" s="1"/>
      <c r="Z1" s="1"/>
      <c r="AA1" s="1" t="s">
        <v>23</v>
      </c>
      <c r="AB1" s="3" t="s">
        <v>24</v>
      </c>
      <c r="AC1" s="4"/>
      <c r="AD1" s="4" t="s">
        <v>25</v>
      </c>
      <c r="AE1" s="4" t="s">
        <v>26</v>
      </c>
      <c r="AF1" s="4" t="s">
        <v>27</v>
      </c>
      <c r="AG1" s="4" t="s">
        <v>29</v>
      </c>
      <c r="AH1" s="4" t="s">
        <v>30</v>
      </c>
    </row>
    <row r="2" spans="1:36" x14ac:dyDescent="0.2">
      <c r="A2" s="1">
        <v>1</v>
      </c>
      <c r="B2" s="1" t="s">
        <v>28</v>
      </c>
      <c r="C2" s="1" t="s">
        <v>22</v>
      </c>
      <c r="D2" s="1">
        <v>2</v>
      </c>
      <c r="E2" s="1">
        <v>1</v>
      </c>
      <c r="F2" s="1">
        <v>2</v>
      </c>
      <c r="G2" s="1">
        <v>5</v>
      </c>
      <c r="H2" s="1"/>
      <c r="I2" s="1">
        <v>5</v>
      </c>
      <c r="J2" s="1">
        <v>4</v>
      </c>
      <c r="K2" s="1">
        <v>3</v>
      </c>
      <c r="L2" s="1">
        <v>4</v>
      </c>
      <c r="M2" s="1"/>
      <c r="N2" s="1" t="str">
        <f>LEFT(C2,R2-1)</f>
        <v>Vermes</v>
      </c>
      <c r="O2" s="1" t="str">
        <f>RIGHT(C2,P2-R2)</f>
        <v>Miklós Géza</v>
      </c>
      <c r="P2" s="1">
        <f>LEN(C2)</f>
        <v>18</v>
      </c>
      <c r="Q2" s="1"/>
      <c r="R2" s="1">
        <f>SEARCH(" ",C2)</f>
        <v>7</v>
      </c>
      <c r="S2" s="1"/>
      <c r="T2" s="1">
        <f>SEARCH(" ",C2,R2+1)</f>
        <v>14</v>
      </c>
      <c r="U2" s="1" t="str">
        <f t="shared" ref="U2:U18" si="0">MID(C2,R2,3+1)</f>
        <v xml:space="preserve"> Mik</v>
      </c>
      <c r="V2" s="1" t="str">
        <f>_xlfn.TEXTJOIN(" ",TRUE,C2,N2,L2,P2)</f>
        <v>Vermes Miklós Géza Vermes 4 18</v>
      </c>
      <c r="W2" s="1"/>
      <c r="X2" s="1"/>
      <c r="Y2" s="1"/>
      <c r="Z2" s="1"/>
      <c r="AA2" s="1" t="str">
        <f>_xlfn.TEXTJOIN(".",TRUE,LEFT(C2,1),MID(C2,R2+1,1)," ")</f>
        <v xml:space="preserve">V.M. </v>
      </c>
      <c r="AB2">
        <v>2023</v>
      </c>
      <c r="AD2" t="str">
        <f>LEFT(C2,3)</f>
        <v>Ver</v>
      </c>
      <c r="AE2" t="str">
        <f>RIGHT(C2,2)</f>
        <v>za</v>
      </c>
      <c r="AF2" t="str">
        <f>RIGHT(B2)</f>
        <v>e</v>
      </c>
      <c r="AG2" t="str">
        <f>_xlfn.TEXTJOIN("",TRUE,AB2,AD2,AE2,"_",AF2)</f>
        <v>2023Verza_e</v>
      </c>
      <c r="AI2" t="s">
        <v>31</v>
      </c>
      <c r="AJ2" t="s">
        <v>32</v>
      </c>
    </row>
    <row r="3" spans="1:36" x14ac:dyDescent="0.2">
      <c r="A3" s="1">
        <v>2</v>
      </c>
      <c r="B3" s="1" t="s">
        <v>28</v>
      </c>
      <c r="C3" s="1" t="s">
        <v>2</v>
      </c>
      <c r="D3" s="1">
        <v>4</v>
      </c>
      <c r="E3" s="1"/>
      <c r="F3" s="1"/>
      <c r="G3" s="1">
        <v>4</v>
      </c>
      <c r="H3" s="1"/>
      <c r="I3" s="1">
        <v>5</v>
      </c>
      <c r="J3" s="1">
        <v>5</v>
      </c>
      <c r="K3" s="1">
        <v>5</v>
      </c>
      <c r="L3" s="1">
        <v>5</v>
      </c>
      <c r="M3" s="1"/>
      <c r="N3" s="1" t="str">
        <f>LEFT(C3,R3-1)</f>
        <v>Kun</v>
      </c>
      <c r="O3" s="1" t="str">
        <f t="shared" ref="O3:O18" si="1">RIGHT(C3,P3-R3)</f>
        <v>Béla</v>
      </c>
      <c r="P3" s="1">
        <f t="shared" ref="P3:P18" si="2">LEN(C3)</f>
        <v>8</v>
      </c>
      <c r="Q3" s="1"/>
      <c r="R3" s="1">
        <f t="shared" ref="R3:R18" si="3">SEARCH(" ",C3)</f>
        <v>4</v>
      </c>
      <c r="S3" s="1"/>
      <c r="T3" s="1"/>
      <c r="U3" s="1" t="str">
        <f t="shared" si="0"/>
        <v xml:space="preserve"> Bél</v>
      </c>
      <c r="V3" s="1"/>
      <c r="W3" s="1"/>
      <c r="X3" s="1"/>
      <c r="Y3" s="1"/>
      <c r="Z3" s="1"/>
      <c r="AA3" s="1" t="str">
        <f t="shared" ref="AA3:AA19" si="4">_xlfn.TEXTJOIN(".",TRUE,LEFT(C3,1),MID(C3,R3+1,1)," ")</f>
        <v xml:space="preserve">K.B. </v>
      </c>
      <c r="AB3">
        <v>2023</v>
      </c>
      <c r="AC3" s="4"/>
      <c r="AD3" t="str">
        <f t="shared" ref="AD3:AD18" si="5">LEFT(C3,3)</f>
        <v>Kun</v>
      </c>
      <c r="AE3" t="str">
        <f t="shared" ref="AE3:AE18" si="6">RIGHT(C3,2)</f>
        <v>la</v>
      </c>
      <c r="AF3" t="str">
        <f t="shared" ref="AF3:AF19" si="7">RIGHT(B3)</f>
        <v>e</v>
      </c>
      <c r="AG3" t="str">
        <f t="shared" ref="AG3:AG18" si="8">_xlfn.TEXTJOIN("",TRUE,AB3,AD3,AE3,"_",AF3)</f>
        <v>2023Kunla_e</v>
      </c>
    </row>
    <row r="4" spans="1:36" x14ac:dyDescent="0.2">
      <c r="A4" s="1">
        <v>3</v>
      </c>
      <c r="B4" s="1" t="s">
        <v>28</v>
      </c>
      <c r="C4" s="1" t="s">
        <v>3</v>
      </c>
      <c r="D4" s="1">
        <v>5</v>
      </c>
      <c r="E4" s="1">
        <v>4</v>
      </c>
      <c r="F4" s="1">
        <v>3</v>
      </c>
      <c r="G4" s="1">
        <v>2</v>
      </c>
      <c r="H4" s="1"/>
      <c r="I4" s="1">
        <v>5</v>
      </c>
      <c r="J4" s="1">
        <v>5</v>
      </c>
      <c r="K4" s="1">
        <v>3</v>
      </c>
      <c r="L4" s="1">
        <v>5</v>
      </c>
      <c r="M4" s="1"/>
      <c r="N4" s="1" t="str">
        <f t="shared" ref="N4:N18" si="9">LEFT(C4,R4-1)</f>
        <v>Kossuth</v>
      </c>
      <c r="O4" s="1" t="str">
        <f t="shared" si="1"/>
        <v>Lajos</v>
      </c>
      <c r="P4" s="1">
        <f t="shared" si="2"/>
        <v>13</v>
      </c>
      <c r="Q4" s="1"/>
      <c r="R4" s="1">
        <f t="shared" si="3"/>
        <v>8</v>
      </c>
      <c r="S4" s="1"/>
      <c r="T4" s="1"/>
      <c r="U4" s="1" t="str">
        <f t="shared" si="0"/>
        <v xml:space="preserve"> Laj</v>
      </c>
      <c r="V4" s="1"/>
      <c r="W4" s="1"/>
      <c r="X4" s="1"/>
      <c r="Y4" s="1"/>
      <c r="Z4" s="1"/>
      <c r="AA4" s="1" t="str">
        <f t="shared" si="4"/>
        <v xml:space="preserve">K.L. </v>
      </c>
      <c r="AB4">
        <v>2023</v>
      </c>
      <c r="AC4" s="4"/>
      <c r="AD4" t="str">
        <f t="shared" si="5"/>
        <v>Kos</v>
      </c>
      <c r="AE4" t="str">
        <f t="shared" si="6"/>
        <v>os</v>
      </c>
      <c r="AF4" t="str">
        <f t="shared" si="7"/>
        <v>e</v>
      </c>
      <c r="AG4" t="str">
        <f t="shared" si="8"/>
        <v>2023Kosos_e</v>
      </c>
    </row>
    <row r="5" spans="1:36" x14ac:dyDescent="0.2">
      <c r="A5" s="1">
        <v>4</v>
      </c>
      <c r="B5" s="1" t="s">
        <v>28</v>
      </c>
      <c r="C5" s="1" t="s">
        <v>4</v>
      </c>
      <c r="D5" s="1">
        <v>4</v>
      </c>
      <c r="E5" s="1">
        <v>4</v>
      </c>
      <c r="F5" s="1">
        <v>1</v>
      </c>
      <c r="G5" s="1">
        <v>5</v>
      </c>
      <c r="H5" s="1"/>
      <c r="I5" s="1">
        <v>5</v>
      </c>
      <c r="J5" s="1">
        <v>5</v>
      </c>
      <c r="K5" s="1">
        <v>5</v>
      </c>
      <c r="L5" s="1">
        <v>4</v>
      </c>
      <c r="M5" s="1"/>
      <c r="N5" s="1" t="str">
        <f t="shared" si="9"/>
        <v>Vezér</v>
      </c>
      <c r="O5" s="1" t="str">
        <f t="shared" si="1"/>
        <v>Árpád</v>
      </c>
      <c r="P5" s="1">
        <f t="shared" si="2"/>
        <v>11</v>
      </c>
      <c r="Q5" s="1"/>
      <c r="R5" s="1">
        <f t="shared" si="3"/>
        <v>6</v>
      </c>
      <c r="S5" s="1"/>
      <c r="T5" s="1"/>
      <c r="U5" s="1" t="str">
        <f t="shared" si="0"/>
        <v xml:space="preserve"> Árp</v>
      </c>
      <c r="V5" s="1"/>
      <c r="W5" s="1"/>
      <c r="X5" s="1"/>
      <c r="Y5" s="1"/>
      <c r="Z5" s="1"/>
      <c r="AA5" s="1" t="str">
        <f t="shared" si="4"/>
        <v xml:space="preserve">V.Á. </v>
      </c>
      <c r="AB5">
        <v>2023</v>
      </c>
      <c r="AC5" s="4"/>
      <c r="AD5" t="str">
        <f t="shared" si="5"/>
        <v>Vez</v>
      </c>
      <c r="AE5" t="str">
        <f t="shared" si="6"/>
        <v>ád</v>
      </c>
      <c r="AF5" t="str">
        <f t="shared" si="7"/>
        <v>e</v>
      </c>
      <c r="AG5" t="str">
        <f t="shared" si="8"/>
        <v>2023Vezád_e</v>
      </c>
    </row>
    <row r="6" spans="1:36" x14ac:dyDescent="0.2">
      <c r="A6" s="1">
        <v>5</v>
      </c>
      <c r="B6" s="1" t="s">
        <v>28</v>
      </c>
      <c r="C6" s="1" t="s">
        <v>5</v>
      </c>
      <c r="D6" s="1">
        <v>1</v>
      </c>
      <c r="E6" s="1">
        <v>1</v>
      </c>
      <c r="F6" s="1">
        <v>1</v>
      </c>
      <c r="G6" s="1">
        <v>4</v>
      </c>
      <c r="H6" s="1"/>
      <c r="I6" s="1">
        <v>5</v>
      </c>
      <c r="J6" s="1">
        <v>4</v>
      </c>
      <c r="K6" s="1">
        <v>3</v>
      </c>
      <c r="L6" s="1">
        <v>3</v>
      </c>
      <c r="M6" s="1"/>
      <c r="N6" s="1" t="str">
        <f t="shared" si="9"/>
        <v>Vezér</v>
      </c>
      <c r="O6" s="1" t="str">
        <f t="shared" si="1"/>
        <v>Előd</v>
      </c>
      <c r="P6" s="1">
        <f t="shared" si="2"/>
        <v>10</v>
      </c>
      <c r="Q6" s="1"/>
      <c r="R6" s="1">
        <f t="shared" si="3"/>
        <v>6</v>
      </c>
      <c r="S6" s="1"/>
      <c r="T6" s="1"/>
      <c r="U6" s="1" t="str">
        <f t="shared" si="0"/>
        <v xml:space="preserve"> Elő</v>
      </c>
      <c r="V6" s="1"/>
      <c r="W6" s="1"/>
      <c r="X6" s="1"/>
      <c r="Y6" s="1"/>
      <c r="Z6" s="1"/>
      <c r="AA6" s="1" t="str">
        <f t="shared" si="4"/>
        <v xml:space="preserve">V.E. </v>
      </c>
      <c r="AB6">
        <v>2023</v>
      </c>
      <c r="AD6" t="str">
        <f t="shared" si="5"/>
        <v>Vez</v>
      </c>
      <c r="AE6" t="str">
        <f t="shared" si="6"/>
        <v>őd</v>
      </c>
      <c r="AF6" t="str">
        <f t="shared" si="7"/>
        <v>e</v>
      </c>
      <c r="AG6" t="str">
        <f t="shared" si="8"/>
        <v>2023Veződ_e</v>
      </c>
    </row>
    <row r="7" spans="1:36" x14ac:dyDescent="0.2">
      <c r="A7" s="1">
        <v>6</v>
      </c>
      <c r="B7" s="1" t="s">
        <v>28</v>
      </c>
      <c r="C7" s="1" t="s">
        <v>6</v>
      </c>
      <c r="D7" s="1">
        <v>3</v>
      </c>
      <c r="E7" s="1">
        <v>5</v>
      </c>
      <c r="F7" s="1">
        <v>3</v>
      </c>
      <c r="G7" s="1">
        <v>5</v>
      </c>
      <c r="H7" s="1"/>
      <c r="I7" s="1">
        <v>5</v>
      </c>
      <c r="J7" s="1">
        <v>5</v>
      </c>
      <c r="K7" s="1">
        <v>4</v>
      </c>
      <c r="L7" s="1">
        <v>4</v>
      </c>
      <c r="M7" s="1"/>
      <c r="N7" s="1" t="str">
        <f t="shared" si="9"/>
        <v>Deák</v>
      </c>
      <c r="O7" s="1" t="str">
        <f t="shared" si="1"/>
        <v>Ferenc</v>
      </c>
      <c r="P7" s="1">
        <f t="shared" si="2"/>
        <v>11</v>
      </c>
      <c r="Q7" s="1"/>
      <c r="R7" s="1">
        <f t="shared" si="3"/>
        <v>5</v>
      </c>
      <c r="S7" s="1"/>
      <c r="T7" s="1"/>
      <c r="U7" s="1" t="str">
        <f t="shared" si="0"/>
        <v xml:space="preserve"> Fer</v>
      </c>
      <c r="V7" s="1"/>
      <c r="W7" s="1"/>
      <c r="X7" s="1"/>
      <c r="Y7" s="1"/>
      <c r="Z7" s="1"/>
      <c r="AA7" s="1" t="str">
        <f t="shared" si="4"/>
        <v xml:space="preserve">D.F. </v>
      </c>
      <c r="AB7">
        <v>2023</v>
      </c>
      <c r="AD7" t="str">
        <f t="shared" si="5"/>
        <v>Deá</v>
      </c>
      <c r="AE7" t="str">
        <f t="shared" si="6"/>
        <v>nc</v>
      </c>
      <c r="AF7" t="str">
        <f t="shared" si="7"/>
        <v>e</v>
      </c>
      <c r="AG7" t="str">
        <f t="shared" si="8"/>
        <v>2023Deánc_e</v>
      </c>
    </row>
    <row r="8" spans="1:36" x14ac:dyDescent="0.2">
      <c r="A8" s="1">
        <v>7</v>
      </c>
      <c r="B8" s="1" t="s">
        <v>28</v>
      </c>
      <c r="C8" s="1" t="s">
        <v>7</v>
      </c>
      <c r="D8" s="1">
        <v>1</v>
      </c>
      <c r="E8" s="1">
        <v>4</v>
      </c>
      <c r="F8" s="1">
        <v>3</v>
      </c>
      <c r="G8" s="1">
        <v>3</v>
      </c>
      <c r="H8" s="1"/>
      <c r="I8" s="1">
        <v>5</v>
      </c>
      <c r="J8" s="1">
        <v>5</v>
      </c>
      <c r="K8" s="1">
        <v>4</v>
      </c>
      <c r="L8" s="1">
        <v>5</v>
      </c>
      <c r="M8" s="1"/>
      <c r="N8" s="1" t="str">
        <f t="shared" si="9"/>
        <v>József</v>
      </c>
      <c r="O8" s="1" t="str">
        <f t="shared" si="1"/>
        <v>Attila</v>
      </c>
      <c r="P8" s="1">
        <f t="shared" si="2"/>
        <v>13</v>
      </c>
      <c r="Q8" s="1"/>
      <c r="R8" s="1">
        <f t="shared" si="3"/>
        <v>7</v>
      </c>
      <c r="S8" s="1"/>
      <c r="T8" s="1"/>
      <c r="U8" s="1" t="str">
        <f t="shared" si="0"/>
        <v xml:space="preserve"> Att</v>
      </c>
      <c r="V8" s="1"/>
      <c r="W8" s="1"/>
      <c r="X8" s="1"/>
      <c r="Y8" s="1"/>
      <c r="Z8" s="1"/>
      <c r="AA8" s="1" t="str">
        <f t="shared" si="4"/>
        <v xml:space="preserve">J.A. </v>
      </c>
      <c r="AB8">
        <v>2023</v>
      </c>
      <c r="AD8" t="str">
        <f t="shared" si="5"/>
        <v>Józ</v>
      </c>
      <c r="AE8" t="str">
        <f t="shared" si="6"/>
        <v>la</v>
      </c>
      <c r="AF8" t="str">
        <f t="shared" si="7"/>
        <v>e</v>
      </c>
      <c r="AG8" t="str">
        <f t="shared" si="8"/>
        <v>2023Józla_e</v>
      </c>
    </row>
    <row r="9" spans="1:36" x14ac:dyDescent="0.2">
      <c r="A9" s="1">
        <v>8</v>
      </c>
      <c r="B9" s="1" t="s">
        <v>28</v>
      </c>
      <c r="C9" s="1" t="s">
        <v>8</v>
      </c>
      <c r="D9" s="1">
        <v>1</v>
      </c>
      <c r="E9" s="1">
        <v>2</v>
      </c>
      <c r="F9" s="1">
        <v>1</v>
      </c>
      <c r="G9" s="1">
        <v>3</v>
      </c>
      <c r="H9" s="1"/>
      <c r="I9" s="1">
        <v>3</v>
      </c>
      <c r="J9" s="1">
        <v>4</v>
      </c>
      <c r="K9" s="1">
        <v>3</v>
      </c>
      <c r="L9" s="1">
        <v>3</v>
      </c>
      <c r="M9" s="1"/>
      <c r="N9" s="1" t="str">
        <f t="shared" si="9"/>
        <v>Tisza</v>
      </c>
      <c r="O9" s="1" t="str">
        <f t="shared" si="1"/>
        <v>István</v>
      </c>
      <c r="P9" s="1">
        <f t="shared" si="2"/>
        <v>12</v>
      </c>
      <c r="Q9" s="1"/>
      <c r="R9" s="1">
        <f t="shared" si="3"/>
        <v>6</v>
      </c>
      <c r="S9" s="1"/>
      <c r="T9" s="1"/>
      <c r="U9" s="1" t="str">
        <f t="shared" si="0"/>
        <v xml:space="preserve"> Ist</v>
      </c>
      <c r="V9" s="1"/>
      <c r="W9" s="1"/>
      <c r="X9" s="1"/>
      <c r="Y9" s="1"/>
      <c r="Z9" s="1"/>
      <c r="AA9" s="1" t="str">
        <f t="shared" si="4"/>
        <v xml:space="preserve">T.I. </v>
      </c>
      <c r="AB9">
        <v>2023</v>
      </c>
      <c r="AD9" t="str">
        <f t="shared" si="5"/>
        <v>Tis</v>
      </c>
      <c r="AE9" t="str">
        <f t="shared" si="6"/>
        <v>án</v>
      </c>
      <c r="AF9" t="str">
        <f t="shared" si="7"/>
        <v>e</v>
      </c>
      <c r="AG9" t="str">
        <f t="shared" si="8"/>
        <v>2023Tisán_e</v>
      </c>
    </row>
    <row r="10" spans="1:36" x14ac:dyDescent="0.2">
      <c r="A10" s="1">
        <v>9</v>
      </c>
      <c r="B10" s="1" t="s">
        <v>28</v>
      </c>
      <c r="C10" s="1" t="s">
        <v>9</v>
      </c>
      <c r="D10" s="1">
        <v>4</v>
      </c>
      <c r="E10" s="1">
        <v>4</v>
      </c>
      <c r="F10" s="1">
        <v>3</v>
      </c>
      <c r="G10" s="1">
        <v>2</v>
      </c>
      <c r="H10" s="1"/>
      <c r="I10" s="1">
        <v>4</v>
      </c>
      <c r="J10" s="1">
        <v>5</v>
      </c>
      <c r="K10" s="1">
        <v>4</v>
      </c>
      <c r="L10" s="1">
        <v>5</v>
      </c>
      <c r="M10" s="1"/>
      <c r="N10" s="1" t="str">
        <f t="shared" si="9"/>
        <v>Mária</v>
      </c>
      <c r="O10" s="1" t="str">
        <f t="shared" si="1"/>
        <v>Terézia</v>
      </c>
      <c r="P10" s="1">
        <f t="shared" si="2"/>
        <v>13</v>
      </c>
      <c r="Q10" s="1"/>
      <c r="R10" s="1">
        <f t="shared" si="3"/>
        <v>6</v>
      </c>
      <c r="S10" s="1"/>
      <c r="T10" s="1"/>
      <c r="U10" s="1" t="str">
        <f t="shared" si="0"/>
        <v xml:space="preserve"> Ter</v>
      </c>
      <c r="V10" s="1"/>
      <c r="W10" s="1"/>
      <c r="X10" s="1"/>
      <c r="Y10" s="1"/>
      <c r="Z10" s="1"/>
      <c r="AA10" s="1" t="str">
        <f t="shared" si="4"/>
        <v xml:space="preserve">M.T. </v>
      </c>
      <c r="AB10">
        <v>2023</v>
      </c>
      <c r="AD10" t="str">
        <f t="shared" si="5"/>
        <v>Már</v>
      </c>
      <c r="AE10" t="str">
        <f t="shared" si="6"/>
        <v>ia</v>
      </c>
      <c r="AF10" t="str">
        <f t="shared" si="7"/>
        <v>e</v>
      </c>
      <c r="AG10" t="str">
        <f t="shared" si="8"/>
        <v>2023Mária_e</v>
      </c>
    </row>
    <row r="11" spans="1:36" x14ac:dyDescent="0.2">
      <c r="A11" s="1">
        <v>10</v>
      </c>
      <c r="B11" s="1" t="s">
        <v>28</v>
      </c>
      <c r="C11" s="1" t="s">
        <v>10</v>
      </c>
      <c r="D11" s="1">
        <v>3</v>
      </c>
      <c r="E11" s="1">
        <v>5</v>
      </c>
      <c r="F11" s="1">
        <v>3</v>
      </c>
      <c r="G11" s="1">
        <v>5</v>
      </c>
      <c r="H11" s="1"/>
      <c r="I11" s="1">
        <v>5</v>
      </c>
      <c r="J11" s="1">
        <v>5</v>
      </c>
      <c r="K11" s="1">
        <v>5</v>
      </c>
      <c r="L11" s="1">
        <v>5</v>
      </c>
      <c r="M11" s="1"/>
      <c r="N11" s="1" t="str">
        <f t="shared" si="9"/>
        <v>Neumann</v>
      </c>
      <c r="O11" s="1" t="str">
        <f t="shared" si="1"/>
        <v>János</v>
      </c>
      <c r="P11" s="1">
        <f t="shared" si="2"/>
        <v>13</v>
      </c>
      <c r="Q11" s="1"/>
      <c r="R11" s="1">
        <f t="shared" si="3"/>
        <v>8</v>
      </c>
      <c r="S11" s="1"/>
      <c r="T11" s="1"/>
      <c r="U11" s="1" t="str">
        <f t="shared" si="0"/>
        <v xml:space="preserve"> Ján</v>
      </c>
      <c r="V11" s="1"/>
      <c r="W11" s="1"/>
      <c r="X11" s="1"/>
      <c r="Y11" s="1"/>
      <c r="Z11" s="1"/>
      <c r="AA11" s="1" t="str">
        <f t="shared" si="4"/>
        <v xml:space="preserve">N.J. </v>
      </c>
      <c r="AB11">
        <v>2023</v>
      </c>
      <c r="AD11" t="str">
        <f t="shared" si="5"/>
        <v>Neu</v>
      </c>
      <c r="AE11" t="str">
        <f t="shared" si="6"/>
        <v>os</v>
      </c>
      <c r="AF11" t="str">
        <f t="shared" si="7"/>
        <v>e</v>
      </c>
      <c r="AG11" t="str">
        <f t="shared" si="8"/>
        <v>2023Neuos_e</v>
      </c>
    </row>
    <row r="12" spans="1:36" x14ac:dyDescent="0.2">
      <c r="A12" s="1">
        <v>11</v>
      </c>
      <c r="B12" s="1" t="s">
        <v>28</v>
      </c>
      <c r="C12" s="1" t="s">
        <v>11</v>
      </c>
      <c r="D12" s="1">
        <v>3</v>
      </c>
      <c r="E12" s="1">
        <v>4</v>
      </c>
      <c r="F12" s="1">
        <v>2</v>
      </c>
      <c r="G12" s="1">
        <v>3</v>
      </c>
      <c r="H12" s="1"/>
      <c r="I12" s="1">
        <v>4</v>
      </c>
      <c r="J12" s="1">
        <v>5</v>
      </c>
      <c r="K12" s="1">
        <v>4</v>
      </c>
      <c r="L12" s="1">
        <v>5</v>
      </c>
      <c r="M12" s="1"/>
      <c r="N12" s="1" t="str">
        <f t="shared" si="9"/>
        <v>Petőfi</v>
      </c>
      <c r="O12" s="1" t="str">
        <f t="shared" si="1"/>
        <v>Sándor</v>
      </c>
      <c r="P12" s="1">
        <f t="shared" si="2"/>
        <v>13</v>
      </c>
      <c r="Q12" s="1"/>
      <c r="R12" s="1">
        <f t="shared" si="3"/>
        <v>7</v>
      </c>
      <c r="S12" s="1"/>
      <c r="T12" s="1"/>
      <c r="U12" s="1" t="str">
        <f t="shared" si="0"/>
        <v xml:space="preserve"> Sán</v>
      </c>
      <c r="V12" s="1"/>
      <c r="W12" s="1"/>
      <c r="X12" s="1"/>
      <c r="Y12" s="1"/>
      <c r="Z12" s="1"/>
      <c r="AA12" s="1" t="str">
        <f t="shared" si="4"/>
        <v xml:space="preserve">P.S. </v>
      </c>
      <c r="AB12">
        <v>2023</v>
      </c>
      <c r="AD12" t="str">
        <f t="shared" si="5"/>
        <v>Pet</v>
      </c>
      <c r="AE12" t="str">
        <f t="shared" si="6"/>
        <v>or</v>
      </c>
      <c r="AF12" t="str">
        <f t="shared" si="7"/>
        <v>e</v>
      </c>
      <c r="AG12" t="str">
        <f t="shared" si="8"/>
        <v>2023Petor_e</v>
      </c>
    </row>
    <row r="13" spans="1:36" x14ac:dyDescent="0.2">
      <c r="A13" s="1">
        <v>12</v>
      </c>
      <c r="B13" s="1" t="s">
        <v>28</v>
      </c>
      <c r="C13" s="1" t="s">
        <v>12</v>
      </c>
      <c r="D13" s="1">
        <v>1</v>
      </c>
      <c r="E13" s="1">
        <v>4</v>
      </c>
      <c r="F13" s="1">
        <v>1</v>
      </c>
      <c r="G13" s="1">
        <v>3</v>
      </c>
      <c r="H13" s="1"/>
      <c r="I13" s="1">
        <v>4</v>
      </c>
      <c r="J13" s="1">
        <v>4</v>
      </c>
      <c r="K13" s="1">
        <v>4</v>
      </c>
      <c r="L13" s="1">
        <v>3</v>
      </c>
      <c r="M13" s="1"/>
      <c r="N13" s="1" t="str">
        <f t="shared" si="9"/>
        <v>Rákóczi</v>
      </c>
      <c r="O13" s="1" t="str">
        <f t="shared" si="1"/>
        <v>Ferenc</v>
      </c>
      <c r="P13" s="1">
        <f t="shared" si="2"/>
        <v>14</v>
      </c>
      <c r="Q13" s="1"/>
      <c r="R13" s="1">
        <f t="shared" si="3"/>
        <v>8</v>
      </c>
      <c r="S13" s="1"/>
      <c r="T13" s="1"/>
      <c r="U13" s="1" t="str">
        <f t="shared" si="0"/>
        <v xml:space="preserve"> Fer</v>
      </c>
      <c r="V13" s="1"/>
      <c r="W13" s="1"/>
      <c r="X13" s="1"/>
      <c r="Y13" s="1"/>
      <c r="Z13" s="1"/>
      <c r="AA13" s="1" t="str">
        <f t="shared" si="4"/>
        <v xml:space="preserve">R.F. </v>
      </c>
      <c r="AB13">
        <v>2023</v>
      </c>
      <c r="AD13" t="str">
        <f t="shared" si="5"/>
        <v>Rák</v>
      </c>
      <c r="AE13" t="str">
        <f t="shared" si="6"/>
        <v>nc</v>
      </c>
      <c r="AF13" t="str">
        <f t="shared" si="7"/>
        <v>e</v>
      </c>
      <c r="AG13" t="str">
        <f t="shared" si="8"/>
        <v>2023Ráknc_e</v>
      </c>
    </row>
    <row r="14" spans="1:36" x14ac:dyDescent="0.2">
      <c r="A14" s="1">
        <v>13</v>
      </c>
      <c r="B14" s="1" t="s">
        <v>28</v>
      </c>
      <c r="C14" s="1" t="s">
        <v>13</v>
      </c>
      <c r="D14" s="1">
        <v>4</v>
      </c>
      <c r="E14" s="1">
        <v>2</v>
      </c>
      <c r="F14" s="1">
        <v>1</v>
      </c>
      <c r="G14" s="1">
        <v>3</v>
      </c>
      <c r="H14" s="1"/>
      <c r="I14" s="1">
        <v>5</v>
      </c>
      <c r="J14" s="1">
        <v>4</v>
      </c>
      <c r="K14" s="1">
        <v>4</v>
      </c>
      <c r="L14" s="1">
        <v>3</v>
      </c>
      <c r="M14" s="1"/>
      <c r="N14" s="1" t="str">
        <f t="shared" si="9"/>
        <v>Dózsa</v>
      </c>
      <c r="O14" s="1" t="str">
        <f t="shared" si="1"/>
        <v>György</v>
      </c>
      <c r="P14" s="1">
        <f t="shared" si="2"/>
        <v>12</v>
      </c>
      <c r="Q14" s="1"/>
      <c r="R14" s="1">
        <f t="shared" si="3"/>
        <v>6</v>
      </c>
      <c r="S14" s="1"/>
      <c r="T14" s="1"/>
      <c r="U14" s="1" t="str">
        <f t="shared" si="0"/>
        <v xml:space="preserve"> Gyö</v>
      </c>
      <c r="V14" s="1"/>
      <c r="W14" s="1"/>
      <c r="X14" s="1"/>
      <c r="Y14" s="1"/>
      <c r="Z14" s="1"/>
      <c r="AA14" s="1" t="str">
        <f t="shared" si="4"/>
        <v xml:space="preserve">D.G. </v>
      </c>
      <c r="AB14">
        <v>2023</v>
      </c>
      <c r="AD14" t="str">
        <f t="shared" si="5"/>
        <v>Dóz</v>
      </c>
      <c r="AE14" t="str">
        <f t="shared" si="6"/>
        <v>gy</v>
      </c>
      <c r="AF14" t="str">
        <f t="shared" si="7"/>
        <v>e</v>
      </c>
      <c r="AG14" t="str">
        <f t="shared" si="8"/>
        <v>2023Dózgy_e</v>
      </c>
    </row>
    <row r="15" spans="1:36" x14ac:dyDescent="0.2">
      <c r="A15" s="1">
        <v>14</v>
      </c>
      <c r="B15" s="1" t="s">
        <v>28</v>
      </c>
      <c r="C15" s="1" t="s">
        <v>14</v>
      </c>
      <c r="D15" s="1">
        <v>3</v>
      </c>
      <c r="E15" s="1">
        <v>4</v>
      </c>
      <c r="F15" s="1">
        <v>3</v>
      </c>
      <c r="G15" s="1">
        <v>5</v>
      </c>
      <c r="H15" s="1"/>
      <c r="I15" s="1">
        <v>5</v>
      </c>
      <c r="J15" s="1">
        <v>5</v>
      </c>
      <c r="K15" s="1">
        <v>5</v>
      </c>
      <c r="L15" s="1">
        <v>5</v>
      </c>
      <c r="M15" s="1"/>
      <c r="N15" s="1" t="str">
        <f t="shared" si="9"/>
        <v>Teller</v>
      </c>
      <c r="O15" s="1" t="str">
        <f t="shared" si="1"/>
        <v>Ede</v>
      </c>
      <c r="P15" s="1">
        <f t="shared" si="2"/>
        <v>10</v>
      </c>
      <c r="Q15" s="1"/>
      <c r="R15" s="1">
        <f t="shared" si="3"/>
        <v>7</v>
      </c>
      <c r="S15" s="1"/>
      <c r="T15" s="1"/>
      <c r="U15" s="1" t="str">
        <f t="shared" si="0"/>
        <v xml:space="preserve"> Ede</v>
      </c>
      <c r="V15" s="1"/>
      <c r="W15" s="1"/>
      <c r="X15" s="1"/>
      <c r="Y15" s="1"/>
      <c r="Z15" s="1"/>
      <c r="AA15" s="1" t="str">
        <f t="shared" si="4"/>
        <v xml:space="preserve">T.E. </v>
      </c>
      <c r="AB15">
        <v>2023</v>
      </c>
      <c r="AD15" t="str">
        <f t="shared" si="5"/>
        <v>Tel</v>
      </c>
      <c r="AE15" t="str">
        <f t="shared" si="6"/>
        <v>de</v>
      </c>
      <c r="AF15" t="str">
        <f t="shared" si="7"/>
        <v>e</v>
      </c>
      <c r="AG15" t="str">
        <f t="shared" si="8"/>
        <v>2023Telde_e</v>
      </c>
    </row>
    <row r="16" spans="1:36" x14ac:dyDescent="0.2">
      <c r="A16" s="1">
        <v>15</v>
      </c>
      <c r="B16" s="1" t="s">
        <v>28</v>
      </c>
      <c r="C16" s="1" t="s">
        <v>15</v>
      </c>
      <c r="D16" s="1">
        <v>2</v>
      </c>
      <c r="E16" s="1">
        <v>3</v>
      </c>
      <c r="F16" s="1">
        <v>3</v>
      </c>
      <c r="G16" s="1"/>
      <c r="H16" s="1"/>
      <c r="I16" s="1">
        <v>4</v>
      </c>
      <c r="J16" s="1">
        <v>5</v>
      </c>
      <c r="K16" s="1">
        <v>4</v>
      </c>
      <c r="L16" s="1">
        <v>4</v>
      </c>
      <c r="M16" s="1"/>
      <c r="N16" s="1" t="str">
        <f t="shared" si="9"/>
        <v>Einstein</v>
      </c>
      <c r="O16" s="1" t="str">
        <f t="shared" si="1"/>
        <v>Albert</v>
      </c>
      <c r="P16" s="1">
        <f t="shared" si="2"/>
        <v>15</v>
      </c>
      <c r="Q16" s="1"/>
      <c r="R16" s="1">
        <f t="shared" si="3"/>
        <v>9</v>
      </c>
      <c r="S16" s="1"/>
      <c r="T16" s="1"/>
      <c r="U16" s="1" t="str">
        <f t="shared" si="0"/>
        <v xml:space="preserve"> Alb</v>
      </c>
      <c r="V16" s="1"/>
      <c r="W16" s="1"/>
      <c r="X16" s="1"/>
      <c r="Y16" s="1"/>
      <c r="Z16" s="1"/>
      <c r="AA16" s="1" t="str">
        <f t="shared" si="4"/>
        <v xml:space="preserve">E.A. </v>
      </c>
      <c r="AB16">
        <v>2023</v>
      </c>
      <c r="AD16" t="str">
        <f t="shared" si="5"/>
        <v>Ein</v>
      </c>
      <c r="AE16" t="str">
        <f t="shared" si="6"/>
        <v>rt</v>
      </c>
      <c r="AF16" t="str">
        <f t="shared" si="7"/>
        <v>e</v>
      </c>
      <c r="AG16" t="str">
        <f t="shared" si="8"/>
        <v>2023Einrt_e</v>
      </c>
    </row>
    <row r="17" spans="1:33" x14ac:dyDescent="0.2">
      <c r="A17" s="1">
        <v>16</v>
      </c>
      <c r="B17" s="1" t="s">
        <v>28</v>
      </c>
      <c r="C17" s="1" t="s">
        <v>16</v>
      </c>
      <c r="D17" s="1">
        <v>3</v>
      </c>
      <c r="E17" s="1">
        <v>3</v>
      </c>
      <c r="F17" s="1">
        <v>2</v>
      </c>
      <c r="G17" s="1">
        <v>3</v>
      </c>
      <c r="H17" s="1"/>
      <c r="I17" s="1">
        <v>5</v>
      </c>
      <c r="J17" s="1">
        <v>5</v>
      </c>
      <c r="K17" s="1">
        <v>5</v>
      </c>
      <c r="L17" s="1">
        <v>5</v>
      </c>
      <c r="M17" s="1"/>
      <c r="N17" s="1" t="str">
        <f t="shared" si="9"/>
        <v>Gábor</v>
      </c>
      <c r="O17" s="1" t="str">
        <f t="shared" si="1"/>
        <v>Dénes</v>
      </c>
      <c r="P17" s="1">
        <f t="shared" si="2"/>
        <v>11</v>
      </c>
      <c r="Q17" s="1"/>
      <c r="R17" s="1">
        <f t="shared" si="3"/>
        <v>6</v>
      </c>
      <c r="S17" s="1"/>
      <c r="T17" s="1"/>
      <c r="U17" s="1" t="str">
        <f t="shared" si="0"/>
        <v xml:space="preserve"> Dén</v>
      </c>
      <c r="V17" s="1"/>
      <c r="W17" s="1"/>
      <c r="X17" s="1"/>
      <c r="Y17" s="1"/>
      <c r="Z17" s="1"/>
      <c r="AA17" s="1" t="str">
        <f t="shared" si="4"/>
        <v xml:space="preserve">G.D. </v>
      </c>
      <c r="AB17">
        <v>2023</v>
      </c>
      <c r="AD17" t="str">
        <f t="shared" si="5"/>
        <v>Gáb</v>
      </c>
      <c r="AE17" t="str">
        <f t="shared" si="6"/>
        <v>es</v>
      </c>
      <c r="AF17" t="str">
        <f t="shared" si="7"/>
        <v>e</v>
      </c>
      <c r="AG17" t="str">
        <f t="shared" si="8"/>
        <v>2023Gábes_e</v>
      </c>
    </row>
    <row r="18" spans="1:33" x14ac:dyDescent="0.2">
      <c r="A18" s="1">
        <v>17</v>
      </c>
      <c r="B18" s="1" t="s">
        <v>28</v>
      </c>
      <c r="C18" s="1" t="s">
        <v>17</v>
      </c>
      <c r="D18" s="1">
        <v>5</v>
      </c>
      <c r="E18" s="1">
        <v>5</v>
      </c>
      <c r="F18" s="1">
        <v>3</v>
      </c>
      <c r="G18" s="1">
        <v>5</v>
      </c>
      <c r="H18" s="1"/>
      <c r="I18" s="1">
        <v>5</v>
      </c>
      <c r="J18" s="1">
        <v>5</v>
      </c>
      <c r="K18" s="1">
        <v>5</v>
      </c>
      <c r="L18" s="1">
        <v>2</v>
      </c>
      <c r="M18" s="1"/>
      <c r="N18" s="1" t="str">
        <f t="shared" si="9"/>
        <v>Öveges</v>
      </c>
      <c r="O18" s="1" t="str">
        <f t="shared" si="1"/>
        <v>József</v>
      </c>
      <c r="P18" s="1">
        <f t="shared" si="2"/>
        <v>13</v>
      </c>
      <c r="Q18" s="1"/>
      <c r="R18" s="1">
        <f t="shared" si="3"/>
        <v>7</v>
      </c>
      <c r="S18" s="1"/>
      <c r="T18" s="1"/>
      <c r="U18" s="1" t="str">
        <f t="shared" si="0"/>
        <v xml:space="preserve"> Józ</v>
      </c>
      <c r="V18" s="1"/>
      <c r="W18" s="1"/>
      <c r="X18" s="1"/>
      <c r="Y18" s="1"/>
      <c r="Z18" s="1"/>
      <c r="AA18" s="1" t="str">
        <f t="shared" si="4"/>
        <v xml:space="preserve">Ö.J. </v>
      </c>
      <c r="AB18">
        <v>2023</v>
      </c>
      <c r="AD18" t="str">
        <f t="shared" si="5"/>
        <v>Öve</v>
      </c>
      <c r="AE18" t="str">
        <f t="shared" si="6"/>
        <v>ef</v>
      </c>
      <c r="AF18" t="str">
        <f t="shared" si="7"/>
        <v>e</v>
      </c>
      <c r="AG18" t="str">
        <f t="shared" si="8"/>
        <v>2023Öveef_e</v>
      </c>
    </row>
    <row r="19" spans="1:33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 t="str">
        <f t="shared" si="4"/>
        <v xml:space="preserve"> </v>
      </c>
      <c r="AF19" t="str">
        <f>RIGHT(B19)</f>
        <v/>
      </c>
    </row>
    <row r="20" spans="1:33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33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33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33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33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33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33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33" ht="15.7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33" ht="15.7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33" ht="15.7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33" ht="15.7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33" ht="15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33" ht="15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Félévek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Holczer József</dc:creator>
  <cp:lastModifiedBy>Köteles Marcell</cp:lastModifiedBy>
  <dcterms:created xsi:type="dcterms:W3CDTF">2002-12-30T14:43:41Z</dcterms:created>
  <dcterms:modified xsi:type="dcterms:W3CDTF">2024-01-16T12:30:27Z</dcterms:modified>
</cp:coreProperties>
</file>