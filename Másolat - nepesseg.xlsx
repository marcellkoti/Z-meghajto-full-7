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D605F253-51AF-44B7-AAA5-716968D64271}" xr6:coauthVersionLast="36" xr6:coauthVersionMax="36" xr10:uidLastSave="{00000000-0000-0000-0000-000000000000}"/>
  <bookViews>
    <workbookView xWindow="0" yWindow="0" windowWidth="24000" windowHeight="9525" xr2:uid="{B9E78B7E-AB75-4279-8D49-5D92A0B950C4}"/>
  </bookViews>
  <sheets>
    <sheet name="Munka2" sheetId="2" r:id="rId1"/>
    <sheet name="Munka1" sheetId="1" r:id="rId2"/>
  </sheets>
  <definedNames>
    <definedName name="KülsőAdatok_1" localSheetId="0" hidden="1">Munka2!$A$2:$E$57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" l="1"/>
  <c r="K5" i="2"/>
  <c r="K4" i="2" l="1"/>
  <c r="K3" i="2"/>
  <c r="K2" i="2"/>
  <c r="E59" i="2"/>
  <c r="E58" i="2"/>
  <c r="D58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30974E-831A-45A9-970A-64FB44E7AA3A}" keepAlive="1" name="Lekérdezés - nepesseg" description="A munkafüzetben levő „nepesseg” lekérdezés kapcsolata" type="5" refreshedVersion="6" background="1" saveData="1">
    <dbPr connection="Provider=Microsoft.Mashup.OleDb.1;Data Source=$Workbook$;Location=nepesseg;Extended Properties=&quot;&quot;" command="SELECT * FROM [nepesseg]"/>
  </connection>
</connections>
</file>

<file path=xl/sharedStrings.xml><?xml version="1.0" encoding="utf-8"?>
<sst xmlns="http://schemas.openxmlformats.org/spreadsheetml/2006/main" count="15" uniqueCount="15">
  <si>
    <t>Év</t>
  </si>
  <si>
    <t>Népesség (férfi)</t>
  </si>
  <si>
    <t>Népesség (Nő)</t>
  </si>
  <si>
    <t>Élveszületés</t>
  </si>
  <si>
    <t>Halálozás</t>
  </si>
  <si>
    <t>Lakosság</t>
  </si>
  <si>
    <t>Gyarapodás</t>
  </si>
  <si>
    <t>Magyarország Népessége</t>
  </si>
  <si>
    <t>5 .legkisebb</t>
  </si>
  <si>
    <t>halálozás</t>
  </si>
  <si>
    <t>2. legnagyobb születés</t>
  </si>
  <si>
    <t>A 5.legkisebb halálozási helye</t>
  </si>
  <si>
    <t>Mikor volt az 5. legk halál</t>
  </si>
  <si>
    <t>Összesítve:</t>
  </si>
  <si>
    <t>Amikor a legtöbb élveszületés volt, hány nő volt az országban?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</si>
</sst>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NumberFormat="1" applyFill="1"/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ál" xfId="0" builtinId="0"/>
  </cellStyles>
  <dxfs count="14"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Élveszületés és halálozás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Munka2!$D$2</c:f>
              <c:strCache>
                <c:ptCount val="1"/>
                <c:pt idx="0">
                  <c:v>Élveszületés</c:v>
                </c:pt>
              </c:strCache>
            </c:strRef>
          </c:tx>
          <c:spPr>
            <a:ln w="38100" cap="rnd">
              <a:solidFill>
                <a:schemeClr val="accent1">
                  <a:alpha val="73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Munka2!$A$3:$A$57</c:f>
              <c:numCache>
                <c:formatCode>General</c:formatCode>
                <c:ptCount val="5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</c:numCache>
            </c:numRef>
          </c:cat>
          <c:val>
            <c:numRef>
              <c:f>Munka2!$D$3:$D$57</c:f>
              <c:numCache>
                <c:formatCode>General</c:formatCode>
                <c:ptCount val="55"/>
                <c:pt idx="0">
                  <c:v>195567</c:v>
                </c:pt>
                <c:pt idx="1">
                  <c:v>190645</c:v>
                </c:pt>
                <c:pt idx="2">
                  <c:v>185820</c:v>
                </c:pt>
                <c:pt idx="3">
                  <c:v>206926</c:v>
                </c:pt>
                <c:pt idx="4">
                  <c:v>223347</c:v>
                </c:pt>
                <c:pt idx="5">
                  <c:v>210430</c:v>
                </c:pt>
                <c:pt idx="6">
                  <c:v>192810</c:v>
                </c:pt>
                <c:pt idx="7">
                  <c:v>167202</c:v>
                </c:pt>
                <c:pt idx="8">
                  <c:v>158428</c:v>
                </c:pt>
                <c:pt idx="9">
                  <c:v>151194</c:v>
                </c:pt>
                <c:pt idx="10">
                  <c:v>146461</c:v>
                </c:pt>
                <c:pt idx="11">
                  <c:v>140365</c:v>
                </c:pt>
                <c:pt idx="12">
                  <c:v>130053</c:v>
                </c:pt>
                <c:pt idx="13">
                  <c:v>132335</c:v>
                </c:pt>
                <c:pt idx="14">
                  <c:v>132141</c:v>
                </c:pt>
                <c:pt idx="15">
                  <c:v>133009</c:v>
                </c:pt>
                <c:pt idx="16">
                  <c:v>138489</c:v>
                </c:pt>
                <c:pt idx="17">
                  <c:v>148886</c:v>
                </c:pt>
                <c:pt idx="18">
                  <c:v>154419</c:v>
                </c:pt>
                <c:pt idx="19">
                  <c:v>154318</c:v>
                </c:pt>
                <c:pt idx="20">
                  <c:v>151819</c:v>
                </c:pt>
                <c:pt idx="21">
                  <c:v>150640</c:v>
                </c:pt>
                <c:pt idx="22">
                  <c:v>153265</c:v>
                </c:pt>
                <c:pt idx="23">
                  <c:v>156224</c:v>
                </c:pt>
                <c:pt idx="24">
                  <c:v>186288</c:v>
                </c:pt>
                <c:pt idx="25">
                  <c:v>194240</c:v>
                </c:pt>
                <c:pt idx="26">
                  <c:v>185405</c:v>
                </c:pt>
                <c:pt idx="27">
                  <c:v>177574</c:v>
                </c:pt>
                <c:pt idx="28">
                  <c:v>168160</c:v>
                </c:pt>
                <c:pt idx="29">
                  <c:v>160364</c:v>
                </c:pt>
                <c:pt idx="30">
                  <c:v>148673</c:v>
                </c:pt>
                <c:pt idx="31">
                  <c:v>142890</c:v>
                </c:pt>
                <c:pt idx="32">
                  <c:v>133559</c:v>
                </c:pt>
                <c:pt idx="33">
                  <c:v>127258</c:v>
                </c:pt>
                <c:pt idx="34">
                  <c:v>125359</c:v>
                </c:pt>
                <c:pt idx="35">
                  <c:v>130200</c:v>
                </c:pt>
                <c:pt idx="36">
                  <c:v>128204</c:v>
                </c:pt>
                <c:pt idx="37">
                  <c:v>125840</c:v>
                </c:pt>
                <c:pt idx="38">
                  <c:v>124296</c:v>
                </c:pt>
                <c:pt idx="39">
                  <c:v>123304</c:v>
                </c:pt>
                <c:pt idx="40">
                  <c:v>125679</c:v>
                </c:pt>
                <c:pt idx="41">
                  <c:v>127207</c:v>
                </c:pt>
                <c:pt idx="42">
                  <c:v>121724</c:v>
                </c:pt>
                <c:pt idx="43">
                  <c:v>117033</c:v>
                </c:pt>
                <c:pt idx="44">
                  <c:v>115598</c:v>
                </c:pt>
                <c:pt idx="45">
                  <c:v>112054</c:v>
                </c:pt>
                <c:pt idx="46">
                  <c:v>105272</c:v>
                </c:pt>
                <c:pt idx="47">
                  <c:v>100350</c:v>
                </c:pt>
                <c:pt idx="48">
                  <c:v>97301</c:v>
                </c:pt>
                <c:pt idx="49">
                  <c:v>94645</c:v>
                </c:pt>
                <c:pt idx="50">
                  <c:v>97597</c:v>
                </c:pt>
                <c:pt idx="51">
                  <c:v>97047</c:v>
                </c:pt>
                <c:pt idx="52">
                  <c:v>96804</c:v>
                </c:pt>
                <c:pt idx="53">
                  <c:v>94647</c:v>
                </c:pt>
                <c:pt idx="54">
                  <c:v>95100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3-4D87-BEC2-C362A2F94AC1}"/>
            </c:ext>
          </c:extLst>
        </c:ser>
        <c:ser>
          <c:idx val="2"/>
          <c:order val="2"/>
          <c:tx>
            <c:strRef>
              <c:f>Munka2!$E$2</c:f>
              <c:strCache>
                <c:ptCount val="1"/>
                <c:pt idx="0">
                  <c:v>Halálozás</c:v>
                </c:pt>
              </c:strCache>
            </c:strRef>
          </c:tx>
          <c:spPr>
            <a:ln w="28575" cap="rnd" cmpd="tri">
              <a:solidFill>
                <a:srgbClr val="FF0000">
                  <a:alpha val="47000"/>
                </a:srgb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Munka2!$A$3:$A$57</c:f>
              <c:numCache>
                <c:formatCode>General</c:formatCode>
                <c:ptCount val="5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</c:numCache>
            </c:numRef>
          </c:cat>
          <c:val>
            <c:numRef>
              <c:f>Munka2!$E$3:$E$57</c:f>
              <c:numCache>
                <c:formatCode>General</c:formatCode>
                <c:ptCount val="55"/>
                <c:pt idx="0">
                  <c:v>106902</c:v>
                </c:pt>
                <c:pt idx="1">
                  <c:v>109998</c:v>
                </c:pt>
                <c:pt idx="2">
                  <c:v>107443</c:v>
                </c:pt>
                <c:pt idx="3">
                  <c:v>112039</c:v>
                </c:pt>
                <c:pt idx="4">
                  <c:v>106670</c:v>
                </c:pt>
                <c:pt idx="5">
                  <c:v>97848</c:v>
                </c:pt>
                <c:pt idx="6">
                  <c:v>104236</c:v>
                </c:pt>
                <c:pt idx="7">
                  <c:v>103645</c:v>
                </c:pt>
                <c:pt idx="8">
                  <c:v>97866</c:v>
                </c:pt>
                <c:pt idx="9">
                  <c:v>103880</c:v>
                </c:pt>
                <c:pt idx="10">
                  <c:v>101525</c:v>
                </c:pt>
                <c:pt idx="11">
                  <c:v>96410</c:v>
                </c:pt>
                <c:pt idx="12">
                  <c:v>108273</c:v>
                </c:pt>
                <c:pt idx="13">
                  <c:v>99871</c:v>
                </c:pt>
                <c:pt idx="14">
                  <c:v>100830</c:v>
                </c:pt>
                <c:pt idx="15">
                  <c:v>108119</c:v>
                </c:pt>
                <c:pt idx="16">
                  <c:v>101943</c:v>
                </c:pt>
                <c:pt idx="17">
                  <c:v>109530</c:v>
                </c:pt>
                <c:pt idx="18">
                  <c:v>115354</c:v>
                </c:pt>
                <c:pt idx="19">
                  <c:v>116659</c:v>
                </c:pt>
                <c:pt idx="20">
                  <c:v>120197</c:v>
                </c:pt>
                <c:pt idx="21">
                  <c:v>123009</c:v>
                </c:pt>
                <c:pt idx="22">
                  <c:v>118991</c:v>
                </c:pt>
                <c:pt idx="23">
                  <c:v>123366</c:v>
                </c:pt>
                <c:pt idx="24">
                  <c:v>125816</c:v>
                </c:pt>
                <c:pt idx="25">
                  <c:v>131102</c:v>
                </c:pt>
                <c:pt idx="26">
                  <c:v>132240</c:v>
                </c:pt>
                <c:pt idx="27">
                  <c:v>132031</c:v>
                </c:pt>
                <c:pt idx="28">
                  <c:v>140121</c:v>
                </c:pt>
                <c:pt idx="29">
                  <c:v>136829</c:v>
                </c:pt>
                <c:pt idx="30">
                  <c:v>145355</c:v>
                </c:pt>
                <c:pt idx="31">
                  <c:v>144757</c:v>
                </c:pt>
                <c:pt idx="32">
                  <c:v>144318</c:v>
                </c:pt>
                <c:pt idx="33">
                  <c:v>148643</c:v>
                </c:pt>
                <c:pt idx="34">
                  <c:v>146709</c:v>
                </c:pt>
                <c:pt idx="35">
                  <c:v>147614</c:v>
                </c:pt>
                <c:pt idx="36">
                  <c:v>147089</c:v>
                </c:pt>
                <c:pt idx="37">
                  <c:v>142601</c:v>
                </c:pt>
                <c:pt idx="38">
                  <c:v>140042</c:v>
                </c:pt>
                <c:pt idx="39">
                  <c:v>144695</c:v>
                </c:pt>
                <c:pt idx="40">
                  <c:v>145660</c:v>
                </c:pt>
                <c:pt idx="41">
                  <c:v>144813</c:v>
                </c:pt>
                <c:pt idx="42">
                  <c:v>148781</c:v>
                </c:pt>
                <c:pt idx="43">
                  <c:v>150244</c:v>
                </c:pt>
                <c:pt idx="44">
                  <c:v>146889</c:v>
                </c:pt>
                <c:pt idx="45">
                  <c:v>145431</c:v>
                </c:pt>
                <c:pt idx="46">
                  <c:v>143130</c:v>
                </c:pt>
                <c:pt idx="47">
                  <c:v>139434</c:v>
                </c:pt>
                <c:pt idx="48">
                  <c:v>140870</c:v>
                </c:pt>
                <c:pt idx="49">
                  <c:v>143210</c:v>
                </c:pt>
                <c:pt idx="50">
                  <c:v>135601</c:v>
                </c:pt>
                <c:pt idx="51">
                  <c:v>132183</c:v>
                </c:pt>
                <c:pt idx="52">
                  <c:v>132833</c:v>
                </c:pt>
                <c:pt idx="53">
                  <c:v>135823</c:v>
                </c:pt>
                <c:pt idx="54">
                  <c:v>132500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3-4D87-BEC2-C362A2F94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533712"/>
        <c:axId val="15493302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Munka2!$A$2</c15:sqref>
                        </c15:formulaRef>
                      </c:ext>
                    </c:extLst>
                    <c:strCache>
                      <c:ptCount val="1"/>
                      <c:pt idx="0">
                        <c:v>Év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Munka2!$A$3:$A$57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Munka2!$A$3:$A$57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AC3-4D87-BEC2-C362A2F94AC1}"/>
                  </c:ext>
                </c:extLst>
              </c15:ser>
            </c15:filteredLineSeries>
          </c:ext>
        </c:extLst>
      </c:lineChart>
      <c:catAx>
        <c:axId val="154953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49330272"/>
        <c:crosses val="autoZero"/>
        <c:auto val="1"/>
        <c:lblAlgn val="ctr"/>
        <c:lblOffset val="100"/>
        <c:noMultiLvlLbl val="0"/>
      </c:catAx>
      <c:valAx>
        <c:axId val="1549330272"/>
        <c:scaling>
          <c:orientation val="minMax"/>
          <c:min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Népesség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4953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	Férfi</a:t>
            </a:r>
            <a:r>
              <a:rPr lang="hu-HU" baseline="0"/>
              <a:t> és Nő</a:t>
            </a:r>
            <a:endParaRPr lang="hu-HU"/>
          </a:p>
        </c:rich>
      </c:tx>
      <c:layout>
        <c:manualLayout>
          <c:xMode val="edge"/>
          <c:yMode val="edge"/>
          <c:x val="0.3267240474251063"/>
          <c:y val="2.4502301029739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Férfi</c:v>
          </c:tx>
          <c:spPr>
            <a:ln w="476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Munka2!$A$3:$A$57</c:f>
              <c:numCache>
                <c:formatCode>General</c:formatCode>
                <c:ptCount val="5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</c:numCache>
            </c:numRef>
          </c:cat>
          <c:val>
            <c:numRef>
              <c:f>Munka2!$B$3:$B$57</c:f>
              <c:numCache>
                <c:formatCode>General</c:formatCode>
                <c:ptCount val="55"/>
                <c:pt idx="0">
                  <c:v>4470291</c:v>
                </c:pt>
                <c:pt idx="1">
                  <c:v>4517829</c:v>
                </c:pt>
                <c:pt idx="2">
                  <c:v>4557733</c:v>
                </c:pt>
                <c:pt idx="3">
                  <c:v>4601091</c:v>
                </c:pt>
                <c:pt idx="4">
                  <c:v>4654979</c:v>
                </c:pt>
                <c:pt idx="5">
                  <c:v>4721011</c:v>
                </c:pt>
                <c:pt idx="6">
                  <c:v>4783475</c:v>
                </c:pt>
                <c:pt idx="7">
                  <c:v>4733516</c:v>
                </c:pt>
                <c:pt idx="8">
                  <c:v>4743045</c:v>
                </c:pt>
                <c:pt idx="9">
                  <c:v>4778418</c:v>
                </c:pt>
                <c:pt idx="10">
                  <c:v>4804043</c:v>
                </c:pt>
                <c:pt idx="11">
                  <c:v>4828164</c:v>
                </c:pt>
                <c:pt idx="12">
                  <c:v>4851471</c:v>
                </c:pt>
                <c:pt idx="13">
                  <c:v>4863372</c:v>
                </c:pt>
                <c:pt idx="14">
                  <c:v>4880359</c:v>
                </c:pt>
                <c:pt idx="15">
                  <c:v>4896837</c:v>
                </c:pt>
                <c:pt idx="16">
                  <c:v>4909957</c:v>
                </c:pt>
                <c:pt idx="17">
                  <c:v>4929411</c:v>
                </c:pt>
                <c:pt idx="18">
                  <c:v>4949843</c:v>
                </c:pt>
                <c:pt idx="19">
                  <c:v>4969737</c:v>
                </c:pt>
                <c:pt idx="20">
                  <c:v>5003651</c:v>
                </c:pt>
                <c:pt idx="21">
                  <c:v>5019472</c:v>
                </c:pt>
                <c:pt idx="22">
                  <c:v>5032776</c:v>
                </c:pt>
                <c:pt idx="23">
                  <c:v>5050271</c:v>
                </c:pt>
                <c:pt idx="24">
                  <c:v>5066834</c:v>
                </c:pt>
                <c:pt idx="25">
                  <c:v>5097229</c:v>
                </c:pt>
                <c:pt idx="26">
                  <c:v>5128907</c:v>
                </c:pt>
                <c:pt idx="27">
                  <c:v>5155852</c:v>
                </c:pt>
                <c:pt idx="28">
                  <c:v>5177960</c:v>
                </c:pt>
                <c:pt idx="29">
                  <c:v>5191336</c:v>
                </c:pt>
                <c:pt idx="30">
                  <c:v>5188709</c:v>
                </c:pt>
                <c:pt idx="31">
                  <c:v>5188095</c:v>
                </c:pt>
                <c:pt idx="32">
                  <c:v>5184515</c:v>
                </c:pt>
                <c:pt idx="33">
                  <c:v>5177073</c:v>
                </c:pt>
                <c:pt idx="34">
                  <c:v>5163504</c:v>
                </c:pt>
                <c:pt idx="35">
                  <c:v>5149332</c:v>
                </c:pt>
                <c:pt idx="36">
                  <c:v>5138124</c:v>
                </c:pt>
                <c:pt idx="37">
                  <c:v>5126602</c:v>
                </c:pt>
                <c:pt idx="38">
                  <c:v>5116264</c:v>
                </c:pt>
                <c:pt idx="39">
                  <c:v>5106715</c:v>
                </c:pt>
                <c:pt idx="40">
                  <c:v>4984904</c:v>
                </c:pt>
                <c:pt idx="41">
                  <c:v>4979833</c:v>
                </c:pt>
                <c:pt idx="42">
                  <c:v>4975730</c:v>
                </c:pt>
                <c:pt idx="43">
                  <c:v>4966328</c:v>
                </c:pt>
                <c:pt idx="44">
                  <c:v>4953428</c:v>
                </c:pt>
                <c:pt idx="45">
                  <c:v>4941620</c:v>
                </c:pt>
                <c:pt idx="46">
                  <c:v>4929222</c:v>
                </c:pt>
                <c:pt idx="47">
                  <c:v>4915956</c:v>
                </c:pt>
                <c:pt idx="48">
                  <c:v>4901764</c:v>
                </c:pt>
                <c:pt idx="49">
                  <c:v>4884396</c:v>
                </c:pt>
                <c:pt idx="50">
                  <c:v>4865194</c:v>
                </c:pt>
                <c:pt idx="51">
                  <c:v>4851012</c:v>
                </c:pt>
                <c:pt idx="52">
                  <c:v>4836980</c:v>
                </c:pt>
                <c:pt idx="53">
                  <c:v>4818456</c:v>
                </c:pt>
                <c:pt idx="54">
                  <c:v>4804113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8-425D-BA60-D3FCA3039A54}"/>
            </c:ext>
          </c:extLst>
        </c:ser>
        <c:ser>
          <c:idx val="2"/>
          <c:order val="2"/>
          <c:tx>
            <c:v>Nő</c:v>
          </c:tx>
          <c:spPr>
            <a:ln w="476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Munka2!$A$3:$A$57</c:f>
              <c:numCache>
                <c:formatCode>General</c:formatCode>
                <c:ptCount val="5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</c:numCache>
            </c:numRef>
          </c:cat>
          <c:val>
            <c:numRef>
              <c:f>Munka2!$C$3:$C$57</c:f>
              <c:numCache>
                <c:formatCode>General</c:formatCode>
                <c:ptCount val="55"/>
                <c:pt idx="0">
                  <c:v>4822223</c:v>
                </c:pt>
                <c:pt idx="1">
                  <c:v>4865195</c:v>
                </c:pt>
                <c:pt idx="2">
                  <c:v>4905154</c:v>
                </c:pt>
                <c:pt idx="3">
                  <c:v>4944116</c:v>
                </c:pt>
                <c:pt idx="4">
                  <c:v>4990089</c:v>
                </c:pt>
                <c:pt idx="5">
                  <c:v>5045589</c:v>
                </c:pt>
                <c:pt idx="6">
                  <c:v>5099735</c:v>
                </c:pt>
                <c:pt idx="7">
                  <c:v>5095062</c:v>
                </c:pt>
                <c:pt idx="8">
                  <c:v>5107113</c:v>
                </c:pt>
                <c:pt idx="9">
                  <c:v>5134611</c:v>
                </c:pt>
                <c:pt idx="10">
                  <c:v>5157001</c:v>
                </c:pt>
                <c:pt idx="11">
                  <c:v>5177816</c:v>
                </c:pt>
                <c:pt idx="12">
                  <c:v>5198464</c:v>
                </c:pt>
                <c:pt idx="13">
                  <c:v>5208343</c:v>
                </c:pt>
                <c:pt idx="14">
                  <c:v>5223820</c:v>
                </c:pt>
                <c:pt idx="15">
                  <c:v>5238653</c:v>
                </c:pt>
                <c:pt idx="16">
                  <c:v>5250423</c:v>
                </c:pt>
                <c:pt idx="17">
                  <c:v>5267515</c:v>
                </c:pt>
                <c:pt idx="18">
                  <c:v>5286439</c:v>
                </c:pt>
                <c:pt idx="19">
                  <c:v>5305610</c:v>
                </c:pt>
                <c:pt idx="20">
                  <c:v>5318448</c:v>
                </c:pt>
                <c:pt idx="21">
                  <c:v>5334249</c:v>
                </c:pt>
                <c:pt idx="22">
                  <c:v>5348576</c:v>
                </c:pt>
                <c:pt idx="23">
                  <c:v>5365355</c:v>
                </c:pt>
                <c:pt idx="24">
                  <c:v>5381650</c:v>
                </c:pt>
                <c:pt idx="25">
                  <c:v>5411727</c:v>
                </c:pt>
                <c:pt idx="26">
                  <c:v>5443187</c:v>
                </c:pt>
                <c:pt idx="27">
                  <c:v>5469407</c:v>
                </c:pt>
                <c:pt idx="28">
                  <c:v>5492842</c:v>
                </c:pt>
                <c:pt idx="29">
                  <c:v>5507505</c:v>
                </c:pt>
                <c:pt idx="30">
                  <c:v>5520754</c:v>
                </c:pt>
                <c:pt idx="31">
                  <c:v>5524686</c:v>
                </c:pt>
                <c:pt idx="32">
                  <c:v>5526399</c:v>
                </c:pt>
                <c:pt idx="33">
                  <c:v>5523082</c:v>
                </c:pt>
                <c:pt idx="34">
                  <c:v>5515266</c:v>
                </c:pt>
                <c:pt idx="35">
                  <c:v>5508088</c:v>
                </c:pt>
                <c:pt idx="36">
                  <c:v>5501882</c:v>
                </c:pt>
                <c:pt idx="37">
                  <c:v>5494519</c:v>
                </c:pt>
                <c:pt idx="38">
                  <c:v>5488096</c:v>
                </c:pt>
                <c:pt idx="39">
                  <c:v>5481899</c:v>
                </c:pt>
                <c:pt idx="40">
                  <c:v>5389919</c:v>
                </c:pt>
                <c:pt idx="41">
                  <c:v>5393319</c:v>
                </c:pt>
                <c:pt idx="42">
                  <c:v>5397917</c:v>
                </c:pt>
                <c:pt idx="43">
                  <c:v>5398707</c:v>
                </c:pt>
                <c:pt idx="44">
                  <c:v>5396582</c:v>
                </c:pt>
                <c:pt idx="45">
                  <c:v>5395081</c:v>
                </c:pt>
                <c:pt idx="46">
                  <c:v>5392007</c:v>
                </c:pt>
                <c:pt idx="47">
                  <c:v>5385291</c:v>
                </c:pt>
                <c:pt idx="48">
                  <c:v>5377960</c:v>
                </c:pt>
                <c:pt idx="49">
                  <c:v>5369020</c:v>
                </c:pt>
                <c:pt idx="50">
                  <c:v>5356450</c:v>
                </c:pt>
                <c:pt idx="51">
                  <c:v>5349286</c:v>
                </c:pt>
                <c:pt idx="52">
                  <c:v>5337873</c:v>
                </c:pt>
                <c:pt idx="53">
                  <c:v>5323906</c:v>
                </c:pt>
                <c:pt idx="54">
                  <c:v>5312629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8-425D-BA60-D3FCA303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000928"/>
        <c:axId val="2399563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Munka2!$A$3:$A$57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Munka2!$A$3:$A$57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9F8-425D-BA60-D3FCA3039A54}"/>
                  </c:ext>
                </c:extLst>
              </c15:ser>
            </c15:filteredLineSeries>
          </c:ext>
        </c:extLst>
      </c:lineChart>
      <c:catAx>
        <c:axId val="160200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39956384"/>
        <c:crosses val="autoZero"/>
        <c:auto val="1"/>
        <c:lblAlgn val="ctr"/>
        <c:lblOffset val="100"/>
        <c:noMultiLvlLbl val="0"/>
      </c:catAx>
      <c:valAx>
        <c:axId val="239956384"/>
        <c:scaling>
          <c:orientation val="minMax"/>
          <c:min val="4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Népesség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0200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185737</xdr:rowOff>
    </xdr:from>
    <xdr:to>
      <xdr:col>14</xdr:col>
      <xdr:colOff>304800</xdr:colOff>
      <xdr:row>21</xdr:row>
      <xdr:rowOff>71437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85C47607-88C5-48FE-A7CE-890E886BE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209550</xdr:colOff>
      <xdr:row>4</xdr:row>
      <xdr:rowOff>161925</xdr:rowOff>
    </xdr:from>
    <xdr:to>
      <xdr:col>11</xdr:col>
      <xdr:colOff>247650</xdr:colOff>
      <xdr:row>21</xdr:row>
      <xdr:rowOff>33337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5FC716FE-B34B-47C5-B878-7E2E49EB6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83B598C4-5DBA-49BB-BEFA-F48E5EAFCD68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Év" tableColumnId="1"/>
      <queryTableField id="2" name="Népesség (férfi)" tableColumnId="2"/>
      <queryTableField id="3" name="Népesség (Nő)" tableColumnId="3"/>
      <queryTableField id="4" name="Élveszületés" tableColumnId="4"/>
      <queryTableField id="5" name="Halálozás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D4CC7A-81E0-4860-B91C-74A76ADE3010}" name="nepesseg" displayName="nepesseg" ref="A2:F58" tableType="queryTable" totalsRowCount="1" headerRowDxfId="13" dataDxfId="12">
  <tableColumns count="6">
    <tableColumn id="1" xr3:uid="{AB07B834-DC7E-4461-95AA-822D3E0D896E}" uniqueName="1" name="Év" queryTableFieldId="1" dataDxfId="11" totalsRowDxfId="10"/>
    <tableColumn id="2" xr3:uid="{D2773936-0C0B-43CA-981E-C7FA3EF7A3B3}" uniqueName="2" name="Népesség (férfi)" queryTableFieldId="2" dataDxfId="9" totalsRowDxfId="8"/>
    <tableColumn id="3" xr3:uid="{DAE85CAD-60A9-480D-9645-545F5D82DF23}" uniqueName="3" name="Népesség (Nő)" queryTableFieldId="3" dataDxfId="7" totalsRowDxfId="6"/>
    <tableColumn id="4" xr3:uid="{DE14AC86-0B57-481D-B08B-3C8D7581A51B}" uniqueName="4" name="Élveszületés" totalsRowFunction="custom" queryTableFieldId="4" dataDxfId="5" totalsRowDxfId="4">
      <totalsRowFormula>MIN(D3:D57)</totalsRowFormula>
    </tableColumn>
    <tableColumn id="5" xr3:uid="{8A4E3CB5-8454-45FC-B12B-8000EECCD62D}" uniqueName="5" name="Halálozás" totalsRowFunction="custom" queryTableFieldId="5" dataDxfId="3" totalsRowDxfId="2">
      <totalsRowFormula>MAX(E3:E57)</totalsRowFormula>
    </tableColumn>
    <tableColumn id="6" xr3:uid="{977E4728-B84A-4EF3-9520-BBB8081B9E1D}" uniqueName="6" name="Gyarapodás" queryTableFieldId="6" dataDxfId="1" totalsRowDxfId="0">
      <calculatedColumnFormula>D3-E3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8F98-B9FF-45F5-B110-F90FBE0942A9}">
  <dimension ref="A1:M59"/>
  <sheetViews>
    <sheetView tabSelected="1" zoomScaleNormal="100" workbookViewId="0">
      <selection activeCell="M24" sqref="M24"/>
    </sheetView>
  </sheetViews>
  <sheetFormatPr defaultRowHeight="15" x14ac:dyDescent="0.25"/>
  <cols>
    <col min="1" max="1" width="5.28515625" style="1" bestFit="1" customWidth="1"/>
    <col min="2" max="2" width="17" style="1" customWidth="1"/>
    <col min="3" max="3" width="15.5703125" style="1" bestFit="1" customWidth="1"/>
    <col min="4" max="4" width="13.28515625" style="1" bestFit="1" customWidth="1"/>
    <col min="5" max="5" width="11" style="1" bestFit="1" customWidth="1"/>
    <col min="6" max="6" width="16.28515625" style="1" customWidth="1"/>
    <col min="7" max="7" width="18.42578125" customWidth="1"/>
  </cols>
  <sheetData>
    <row r="1" spans="1:13" x14ac:dyDescent="0.25">
      <c r="A1" s="6" t="s">
        <v>7</v>
      </c>
      <c r="B1" s="6"/>
      <c r="C1" s="6"/>
      <c r="D1" s="6"/>
      <c r="E1" s="6"/>
      <c r="F1" s="6"/>
      <c r="G1" s="6"/>
    </row>
    <row r="2" spans="1:13" ht="30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6</v>
      </c>
      <c r="G2" s="3" t="s">
        <v>5</v>
      </c>
      <c r="H2" t="s">
        <v>10</v>
      </c>
      <c r="K2">
        <f>LARGE(D3:D57,2)</f>
        <v>210430</v>
      </c>
    </row>
    <row r="3" spans="1:13" x14ac:dyDescent="0.25">
      <c r="A3" s="1">
        <v>1950</v>
      </c>
      <c r="B3" s="1">
        <v>4470291</v>
      </c>
      <c r="C3" s="1">
        <v>4822223</v>
      </c>
      <c r="D3" s="1">
        <v>195567</v>
      </c>
      <c r="E3" s="1">
        <v>106902</v>
      </c>
      <c r="F3" s="1">
        <f t="shared" ref="F3:F34" si="0">D3-E3</f>
        <v>88665</v>
      </c>
      <c r="G3">
        <f>B3+C3</f>
        <v>9292514</v>
      </c>
      <c r="H3" t="s">
        <v>8</v>
      </c>
      <c r="I3" t="s">
        <v>9</v>
      </c>
      <c r="K3">
        <f>SMALL(E3:E57,5)</f>
        <v>100830</v>
      </c>
    </row>
    <row r="4" spans="1:13" x14ac:dyDescent="0.25">
      <c r="A4" s="1">
        <v>1951</v>
      </c>
      <c r="B4" s="1">
        <v>4517829</v>
      </c>
      <c r="C4" s="1">
        <v>4865195</v>
      </c>
      <c r="D4" s="1">
        <v>190645</v>
      </c>
      <c r="E4" s="1">
        <v>109998</v>
      </c>
      <c r="F4" s="1">
        <f t="shared" si="0"/>
        <v>80647</v>
      </c>
      <c r="G4">
        <f t="shared" ref="G4:G57" si="1">B4+C4</f>
        <v>9383024</v>
      </c>
      <c r="H4" t="s">
        <v>11</v>
      </c>
      <c r="K4">
        <f>MATCH(K3,E3:E57,0)</f>
        <v>15</v>
      </c>
    </row>
    <row r="5" spans="1:13" x14ac:dyDescent="0.25">
      <c r="A5" s="1">
        <v>1952</v>
      </c>
      <c r="B5" s="1">
        <v>4557733</v>
      </c>
      <c r="C5" s="1">
        <v>4905154</v>
      </c>
      <c r="D5" s="1">
        <v>185820</v>
      </c>
      <c r="E5" s="1">
        <v>107443</v>
      </c>
      <c r="F5" s="1">
        <f t="shared" si="0"/>
        <v>78377</v>
      </c>
      <c r="G5">
        <f t="shared" si="1"/>
        <v>9462887</v>
      </c>
      <c r="H5" s="7" t="s">
        <v>12</v>
      </c>
      <c r="I5" s="7"/>
      <c r="J5" s="7"/>
      <c r="K5">
        <f>INDEX(A3:A57,K4)</f>
        <v>1964</v>
      </c>
    </row>
    <row r="6" spans="1:13" x14ac:dyDescent="0.25">
      <c r="A6" s="1">
        <v>1953</v>
      </c>
      <c r="B6" s="1">
        <v>4601091</v>
      </c>
      <c r="C6" s="1">
        <v>4944116</v>
      </c>
      <c r="D6" s="1">
        <v>206926</v>
      </c>
      <c r="E6" s="1">
        <v>112039</v>
      </c>
      <c r="F6" s="1">
        <f t="shared" si="0"/>
        <v>94887</v>
      </c>
      <c r="G6">
        <f t="shared" si="1"/>
        <v>9545207</v>
      </c>
      <c r="H6" s="7" t="s">
        <v>13</v>
      </c>
      <c r="I6" s="7"/>
      <c r="J6" s="7"/>
      <c r="K6">
        <f>INDEX(A3:A57,MATCH(LARGE(E3:E57,3),E3:E57,0))</f>
        <v>1983</v>
      </c>
    </row>
    <row r="7" spans="1:13" x14ac:dyDescent="0.25">
      <c r="A7" s="1">
        <v>1954</v>
      </c>
      <c r="B7" s="1">
        <v>4654979</v>
      </c>
      <c r="C7" s="1">
        <v>4990089</v>
      </c>
      <c r="D7" s="1">
        <v>223347</v>
      </c>
      <c r="E7" s="1">
        <v>106670</v>
      </c>
      <c r="F7" s="1">
        <f t="shared" si="0"/>
        <v>116677</v>
      </c>
      <c r="G7">
        <f t="shared" si="1"/>
        <v>9645068</v>
      </c>
      <c r="H7" s="8" t="s">
        <v>14</v>
      </c>
      <c r="I7" s="8"/>
      <c r="J7" s="8"/>
      <c r="K7" s="8"/>
      <c r="L7" s="8"/>
      <c r="M7" s="8"/>
    </row>
    <row r="8" spans="1:13" x14ac:dyDescent="0.25">
      <c r="A8" s="1">
        <v>1955</v>
      </c>
      <c r="B8" s="1">
        <v>4721011</v>
      </c>
      <c r="C8" s="1">
        <v>5045589</v>
      </c>
      <c r="D8" s="1">
        <v>210430</v>
      </c>
      <c r="E8" s="1">
        <v>97848</v>
      </c>
      <c r="F8" s="1">
        <f t="shared" si="0"/>
        <v>112582</v>
      </c>
      <c r="G8">
        <f t="shared" si="1"/>
        <v>9766600</v>
      </c>
      <c r="H8" s="5"/>
      <c r="I8" s="5"/>
      <c r="J8" s="5"/>
    </row>
    <row r="9" spans="1:13" x14ac:dyDescent="0.25">
      <c r="A9" s="1">
        <v>1956</v>
      </c>
      <c r="B9" s="1">
        <v>4783475</v>
      </c>
      <c r="C9" s="1">
        <v>5099735</v>
      </c>
      <c r="D9" s="1">
        <v>192810</v>
      </c>
      <c r="E9" s="1">
        <v>104236</v>
      </c>
      <c r="F9" s="1">
        <f t="shared" si="0"/>
        <v>88574</v>
      </c>
      <c r="G9">
        <f t="shared" si="1"/>
        <v>9883210</v>
      </c>
    </row>
    <row r="10" spans="1:13" x14ac:dyDescent="0.25">
      <c r="A10" s="1">
        <v>1957</v>
      </c>
      <c r="B10" s="1">
        <v>4733516</v>
      </c>
      <c r="C10" s="1">
        <v>5095062</v>
      </c>
      <c r="D10" s="1">
        <v>167202</v>
      </c>
      <c r="E10" s="1">
        <v>103645</v>
      </c>
      <c r="F10" s="1">
        <f t="shared" si="0"/>
        <v>63557</v>
      </c>
      <c r="G10">
        <f t="shared" si="1"/>
        <v>9828578</v>
      </c>
    </row>
    <row r="11" spans="1:13" x14ac:dyDescent="0.25">
      <c r="A11" s="1">
        <v>1958</v>
      </c>
      <c r="B11" s="1">
        <v>4743045</v>
      </c>
      <c r="C11" s="1">
        <v>5107113</v>
      </c>
      <c r="D11" s="1">
        <v>158428</v>
      </c>
      <c r="E11" s="1">
        <v>97866</v>
      </c>
      <c r="F11" s="1">
        <f t="shared" si="0"/>
        <v>60562</v>
      </c>
      <c r="G11">
        <f t="shared" si="1"/>
        <v>9850158</v>
      </c>
    </row>
    <row r="12" spans="1:13" x14ac:dyDescent="0.25">
      <c r="A12" s="1">
        <v>1959</v>
      </c>
      <c r="B12" s="1">
        <v>4778418</v>
      </c>
      <c r="C12" s="1">
        <v>5134611</v>
      </c>
      <c r="D12" s="1">
        <v>151194</v>
      </c>
      <c r="E12" s="1">
        <v>103880</v>
      </c>
      <c r="F12" s="1">
        <f t="shared" si="0"/>
        <v>47314</v>
      </c>
      <c r="G12">
        <f t="shared" si="1"/>
        <v>9913029</v>
      </c>
    </row>
    <row r="13" spans="1:13" x14ac:dyDescent="0.25">
      <c r="A13" s="1">
        <v>1960</v>
      </c>
      <c r="B13" s="1">
        <v>4804043</v>
      </c>
      <c r="C13" s="1">
        <v>5157001</v>
      </c>
      <c r="D13" s="1">
        <v>146461</v>
      </c>
      <c r="E13" s="1">
        <v>101525</v>
      </c>
      <c r="F13" s="1">
        <f t="shared" si="0"/>
        <v>44936</v>
      </c>
      <c r="G13">
        <f t="shared" si="1"/>
        <v>9961044</v>
      </c>
    </row>
    <row r="14" spans="1:13" x14ac:dyDescent="0.25">
      <c r="A14" s="1">
        <v>1961</v>
      </c>
      <c r="B14" s="1">
        <v>4828164</v>
      </c>
      <c r="C14" s="1">
        <v>5177816</v>
      </c>
      <c r="D14" s="1">
        <v>140365</v>
      </c>
      <c r="E14" s="1">
        <v>96410</v>
      </c>
      <c r="F14" s="1">
        <f t="shared" si="0"/>
        <v>43955</v>
      </c>
      <c r="G14">
        <f t="shared" si="1"/>
        <v>10005980</v>
      </c>
    </row>
    <row r="15" spans="1:13" x14ac:dyDescent="0.25">
      <c r="A15" s="1">
        <v>1962</v>
      </c>
      <c r="B15" s="1">
        <v>4851471</v>
      </c>
      <c r="C15" s="1">
        <v>5198464</v>
      </c>
      <c r="D15" s="1">
        <v>130053</v>
      </c>
      <c r="E15" s="1">
        <v>108273</v>
      </c>
      <c r="F15" s="1">
        <f t="shared" si="0"/>
        <v>21780</v>
      </c>
      <c r="G15">
        <f t="shared" si="1"/>
        <v>10049935</v>
      </c>
    </row>
    <row r="16" spans="1:13" x14ac:dyDescent="0.25">
      <c r="A16" s="1">
        <v>1963</v>
      </c>
      <c r="B16" s="1">
        <v>4863372</v>
      </c>
      <c r="C16" s="1">
        <v>5208343</v>
      </c>
      <c r="D16" s="1">
        <v>132335</v>
      </c>
      <c r="E16" s="1">
        <v>99871</v>
      </c>
      <c r="F16" s="1">
        <f t="shared" si="0"/>
        <v>32464</v>
      </c>
      <c r="G16">
        <f t="shared" si="1"/>
        <v>10071715</v>
      </c>
    </row>
    <row r="17" spans="1:7" x14ac:dyDescent="0.25">
      <c r="A17" s="1">
        <v>1964</v>
      </c>
      <c r="B17" s="1">
        <v>4880359</v>
      </c>
      <c r="C17" s="1">
        <v>5223820</v>
      </c>
      <c r="D17" s="1">
        <v>132141</v>
      </c>
      <c r="E17" s="1">
        <v>100830</v>
      </c>
      <c r="F17" s="1">
        <f t="shared" si="0"/>
        <v>31311</v>
      </c>
      <c r="G17">
        <f t="shared" si="1"/>
        <v>10104179</v>
      </c>
    </row>
    <row r="18" spans="1:7" x14ac:dyDescent="0.25">
      <c r="A18" s="1">
        <v>1965</v>
      </c>
      <c r="B18" s="1">
        <v>4896837</v>
      </c>
      <c r="C18" s="1">
        <v>5238653</v>
      </c>
      <c r="D18" s="1">
        <v>133009</v>
      </c>
      <c r="E18" s="1">
        <v>108119</v>
      </c>
      <c r="F18" s="1">
        <f t="shared" si="0"/>
        <v>24890</v>
      </c>
      <c r="G18">
        <f t="shared" si="1"/>
        <v>10135490</v>
      </c>
    </row>
    <row r="19" spans="1:7" x14ac:dyDescent="0.25">
      <c r="A19" s="1">
        <v>1966</v>
      </c>
      <c r="B19" s="1">
        <v>4909957</v>
      </c>
      <c r="C19" s="1">
        <v>5250423</v>
      </c>
      <c r="D19" s="1">
        <v>138489</v>
      </c>
      <c r="E19" s="1">
        <v>101943</v>
      </c>
      <c r="F19" s="1">
        <f t="shared" si="0"/>
        <v>36546</v>
      </c>
      <c r="G19">
        <f t="shared" si="1"/>
        <v>10160380</v>
      </c>
    </row>
    <row r="20" spans="1:7" x14ac:dyDescent="0.25">
      <c r="A20" s="1">
        <v>1967</v>
      </c>
      <c r="B20" s="1">
        <v>4929411</v>
      </c>
      <c r="C20" s="1">
        <v>5267515</v>
      </c>
      <c r="D20" s="1">
        <v>148886</v>
      </c>
      <c r="E20" s="1">
        <v>109530</v>
      </c>
      <c r="F20" s="1">
        <f t="shared" si="0"/>
        <v>39356</v>
      </c>
      <c r="G20">
        <f t="shared" si="1"/>
        <v>10196926</v>
      </c>
    </row>
    <row r="21" spans="1:7" x14ac:dyDescent="0.25">
      <c r="A21" s="1">
        <v>1968</v>
      </c>
      <c r="B21" s="1">
        <v>4949843</v>
      </c>
      <c r="C21" s="1">
        <v>5286439</v>
      </c>
      <c r="D21" s="1">
        <v>154419</v>
      </c>
      <c r="E21" s="1">
        <v>115354</v>
      </c>
      <c r="F21" s="1">
        <f t="shared" si="0"/>
        <v>39065</v>
      </c>
      <c r="G21">
        <f t="shared" si="1"/>
        <v>10236282</v>
      </c>
    </row>
    <row r="22" spans="1:7" x14ac:dyDescent="0.25">
      <c r="A22" s="1">
        <v>1969</v>
      </c>
      <c r="B22" s="1">
        <v>4969737</v>
      </c>
      <c r="C22" s="1">
        <v>5305610</v>
      </c>
      <c r="D22" s="1">
        <v>154318</v>
      </c>
      <c r="E22" s="1">
        <v>116659</v>
      </c>
      <c r="F22" s="1">
        <f t="shared" si="0"/>
        <v>37659</v>
      </c>
      <c r="G22">
        <f t="shared" si="1"/>
        <v>10275347</v>
      </c>
    </row>
    <row r="23" spans="1:7" x14ac:dyDescent="0.25">
      <c r="A23" s="1">
        <v>1970</v>
      </c>
      <c r="B23" s="1">
        <v>5003651</v>
      </c>
      <c r="C23" s="1">
        <v>5318448</v>
      </c>
      <c r="D23" s="1">
        <v>151819</v>
      </c>
      <c r="E23" s="1">
        <v>120197</v>
      </c>
      <c r="F23" s="1">
        <f t="shared" si="0"/>
        <v>31622</v>
      </c>
      <c r="G23">
        <f t="shared" si="1"/>
        <v>10322099</v>
      </c>
    </row>
    <row r="24" spans="1:7" x14ac:dyDescent="0.25">
      <c r="A24" s="1">
        <v>1971</v>
      </c>
      <c r="B24" s="1">
        <v>5019472</v>
      </c>
      <c r="C24" s="1">
        <v>5334249</v>
      </c>
      <c r="D24" s="1">
        <v>150640</v>
      </c>
      <c r="E24" s="1">
        <v>123009</v>
      </c>
      <c r="F24" s="1">
        <f t="shared" si="0"/>
        <v>27631</v>
      </c>
      <c r="G24">
        <f t="shared" si="1"/>
        <v>10353721</v>
      </c>
    </row>
    <row r="25" spans="1:7" x14ac:dyDescent="0.25">
      <c r="A25" s="1">
        <v>1972</v>
      </c>
      <c r="B25" s="1">
        <v>5032776</v>
      </c>
      <c r="C25" s="1">
        <v>5348576</v>
      </c>
      <c r="D25" s="1">
        <v>153265</v>
      </c>
      <c r="E25" s="1">
        <v>118991</v>
      </c>
      <c r="F25" s="1">
        <f t="shared" si="0"/>
        <v>34274</v>
      </c>
      <c r="G25">
        <f t="shared" si="1"/>
        <v>10381352</v>
      </c>
    </row>
    <row r="26" spans="1:7" x14ac:dyDescent="0.25">
      <c r="A26" s="1">
        <v>1973</v>
      </c>
      <c r="B26" s="1">
        <v>5050271</v>
      </c>
      <c r="C26" s="1">
        <v>5365355</v>
      </c>
      <c r="D26" s="1">
        <v>156224</v>
      </c>
      <c r="E26" s="1">
        <v>123366</v>
      </c>
      <c r="F26" s="1">
        <f t="shared" si="0"/>
        <v>32858</v>
      </c>
      <c r="G26">
        <f t="shared" si="1"/>
        <v>10415626</v>
      </c>
    </row>
    <row r="27" spans="1:7" x14ac:dyDescent="0.25">
      <c r="A27" s="1">
        <v>1974</v>
      </c>
      <c r="B27" s="1">
        <v>5066834</v>
      </c>
      <c r="C27" s="1">
        <v>5381650</v>
      </c>
      <c r="D27" s="1">
        <v>186288</v>
      </c>
      <c r="E27" s="1">
        <v>125816</v>
      </c>
      <c r="F27" s="1">
        <f t="shared" si="0"/>
        <v>60472</v>
      </c>
      <c r="G27">
        <f t="shared" si="1"/>
        <v>10448484</v>
      </c>
    </row>
    <row r="28" spans="1:7" x14ac:dyDescent="0.25">
      <c r="A28" s="1">
        <v>1975</v>
      </c>
      <c r="B28" s="1">
        <v>5097229</v>
      </c>
      <c r="C28" s="1">
        <v>5411727</v>
      </c>
      <c r="D28" s="1">
        <v>194240</v>
      </c>
      <c r="E28" s="1">
        <v>131102</v>
      </c>
      <c r="F28" s="1">
        <f t="shared" si="0"/>
        <v>63138</v>
      </c>
      <c r="G28">
        <f t="shared" si="1"/>
        <v>10508956</v>
      </c>
    </row>
    <row r="29" spans="1:7" x14ac:dyDescent="0.25">
      <c r="A29" s="1">
        <v>1976</v>
      </c>
      <c r="B29" s="1">
        <v>5128907</v>
      </c>
      <c r="C29" s="1">
        <v>5443187</v>
      </c>
      <c r="D29" s="1">
        <v>185405</v>
      </c>
      <c r="E29" s="1">
        <v>132240</v>
      </c>
      <c r="F29" s="1">
        <f t="shared" si="0"/>
        <v>53165</v>
      </c>
      <c r="G29">
        <f t="shared" si="1"/>
        <v>10572094</v>
      </c>
    </row>
    <row r="30" spans="1:7" x14ac:dyDescent="0.25">
      <c r="A30" s="1">
        <v>1977</v>
      </c>
      <c r="B30" s="1">
        <v>5155852</v>
      </c>
      <c r="C30" s="1">
        <v>5469407</v>
      </c>
      <c r="D30" s="1">
        <v>177574</v>
      </c>
      <c r="E30" s="1">
        <v>132031</v>
      </c>
      <c r="F30" s="1">
        <f t="shared" si="0"/>
        <v>45543</v>
      </c>
      <c r="G30">
        <f t="shared" si="1"/>
        <v>10625259</v>
      </c>
    </row>
    <row r="31" spans="1:7" x14ac:dyDescent="0.25">
      <c r="A31" s="1">
        <v>1978</v>
      </c>
      <c r="B31" s="1">
        <v>5177960</v>
      </c>
      <c r="C31" s="1">
        <v>5492842</v>
      </c>
      <c r="D31" s="1">
        <v>168160</v>
      </c>
      <c r="E31" s="1">
        <v>140121</v>
      </c>
      <c r="F31" s="1">
        <f t="shared" si="0"/>
        <v>28039</v>
      </c>
      <c r="G31">
        <f t="shared" si="1"/>
        <v>10670802</v>
      </c>
    </row>
    <row r="32" spans="1:7" x14ac:dyDescent="0.25">
      <c r="A32" s="1">
        <v>1979</v>
      </c>
      <c r="B32" s="1">
        <v>5191336</v>
      </c>
      <c r="C32" s="1">
        <v>5507505</v>
      </c>
      <c r="D32" s="1">
        <v>160364</v>
      </c>
      <c r="E32" s="1">
        <v>136829</v>
      </c>
      <c r="F32" s="1">
        <f t="shared" si="0"/>
        <v>23535</v>
      </c>
      <c r="G32">
        <f t="shared" si="1"/>
        <v>10698841</v>
      </c>
    </row>
    <row r="33" spans="1:7" x14ac:dyDescent="0.25">
      <c r="A33" s="1">
        <v>1980</v>
      </c>
      <c r="B33" s="1">
        <v>5188709</v>
      </c>
      <c r="C33" s="1">
        <v>5520754</v>
      </c>
      <c r="D33" s="1">
        <v>148673</v>
      </c>
      <c r="E33" s="1">
        <v>145355</v>
      </c>
      <c r="F33" s="1">
        <f t="shared" si="0"/>
        <v>3318</v>
      </c>
      <c r="G33">
        <f t="shared" si="1"/>
        <v>10709463</v>
      </c>
    </row>
    <row r="34" spans="1:7" x14ac:dyDescent="0.25">
      <c r="A34" s="1">
        <v>1981</v>
      </c>
      <c r="B34" s="1">
        <v>5188095</v>
      </c>
      <c r="C34" s="1">
        <v>5524686</v>
      </c>
      <c r="D34" s="1">
        <v>142890</v>
      </c>
      <c r="E34" s="1">
        <v>144757</v>
      </c>
      <c r="F34" s="1">
        <f t="shared" si="0"/>
        <v>-1867</v>
      </c>
      <c r="G34">
        <f t="shared" si="1"/>
        <v>10712781</v>
      </c>
    </row>
    <row r="35" spans="1:7" x14ac:dyDescent="0.25">
      <c r="A35" s="1">
        <v>1982</v>
      </c>
      <c r="B35" s="1">
        <v>5184515</v>
      </c>
      <c r="C35" s="1">
        <v>5526399</v>
      </c>
      <c r="D35" s="1">
        <v>133559</v>
      </c>
      <c r="E35" s="1">
        <v>144318</v>
      </c>
      <c r="F35" s="1">
        <f t="shared" ref="F35:F57" si="2">D35-E35</f>
        <v>-10759</v>
      </c>
      <c r="G35">
        <f t="shared" si="1"/>
        <v>10710914</v>
      </c>
    </row>
    <row r="36" spans="1:7" x14ac:dyDescent="0.25">
      <c r="A36" s="1">
        <v>1983</v>
      </c>
      <c r="B36" s="1">
        <v>5177073</v>
      </c>
      <c r="C36" s="1">
        <v>5523082</v>
      </c>
      <c r="D36" s="1">
        <v>127258</v>
      </c>
      <c r="E36" s="1">
        <v>148643</v>
      </c>
      <c r="F36" s="1">
        <f t="shared" si="2"/>
        <v>-21385</v>
      </c>
      <c r="G36">
        <f t="shared" si="1"/>
        <v>10700155</v>
      </c>
    </row>
    <row r="37" spans="1:7" x14ac:dyDescent="0.25">
      <c r="A37" s="1">
        <v>1984</v>
      </c>
      <c r="B37" s="1">
        <v>5163504</v>
      </c>
      <c r="C37" s="1">
        <v>5515266</v>
      </c>
      <c r="D37" s="1">
        <v>125359</v>
      </c>
      <c r="E37" s="1">
        <v>146709</v>
      </c>
      <c r="F37" s="1">
        <f t="shared" si="2"/>
        <v>-21350</v>
      </c>
      <c r="G37">
        <f t="shared" si="1"/>
        <v>10678770</v>
      </c>
    </row>
    <row r="38" spans="1:7" x14ac:dyDescent="0.25">
      <c r="A38" s="1">
        <v>1985</v>
      </c>
      <c r="B38" s="1">
        <v>5149332</v>
      </c>
      <c r="C38" s="1">
        <v>5508088</v>
      </c>
      <c r="D38" s="1">
        <v>130200</v>
      </c>
      <c r="E38" s="1">
        <v>147614</v>
      </c>
      <c r="F38" s="1">
        <f t="shared" si="2"/>
        <v>-17414</v>
      </c>
      <c r="G38">
        <f t="shared" si="1"/>
        <v>10657420</v>
      </c>
    </row>
    <row r="39" spans="1:7" x14ac:dyDescent="0.25">
      <c r="A39" s="1">
        <v>1986</v>
      </c>
      <c r="B39" s="1">
        <v>5138124</v>
      </c>
      <c r="C39" s="1">
        <v>5501882</v>
      </c>
      <c r="D39" s="1">
        <v>128204</v>
      </c>
      <c r="E39" s="1">
        <v>147089</v>
      </c>
      <c r="F39" s="1">
        <f t="shared" si="2"/>
        <v>-18885</v>
      </c>
      <c r="G39">
        <f t="shared" si="1"/>
        <v>10640006</v>
      </c>
    </row>
    <row r="40" spans="1:7" x14ac:dyDescent="0.25">
      <c r="A40" s="1">
        <v>1987</v>
      </c>
      <c r="B40" s="1">
        <v>5126602</v>
      </c>
      <c r="C40" s="1">
        <v>5494519</v>
      </c>
      <c r="D40" s="1">
        <v>125840</v>
      </c>
      <c r="E40" s="1">
        <v>142601</v>
      </c>
      <c r="F40" s="1">
        <f t="shared" si="2"/>
        <v>-16761</v>
      </c>
      <c r="G40">
        <f t="shared" si="1"/>
        <v>10621121</v>
      </c>
    </row>
    <row r="41" spans="1:7" x14ac:dyDescent="0.25">
      <c r="A41" s="1">
        <v>1988</v>
      </c>
      <c r="B41" s="1">
        <v>5116264</v>
      </c>
      <c r="C41" s="1">
        <v>5488096</v>
      </c>
      <c r="D41" s="1">
        <v>124296</v>
      </c>
      <c r="E41" s="1">
        <v>140042</v>
      </c>
      <c r="F41" s="1">
        <f t="shared" si="2"/>
        <v>-15746</v>
      </c>
      <c r="G41">
        <f t="shared" si="1"/>
        <v>10604360</v>
      </c>
    </row>
    <row r="42" spans="1:7" x14ac:dyDescent="0.25">
      <c r="A42" s="1">
        <v>1989</v>
      </c>
      <c r="B42" s="1">
        <v>5106715</v>
      </c>
      <c r="C42" s="1">
        <v>5481899</v>
      </c>
      <c r="D42" s="1">
        <v>123304</v>
      </c>
      <c r="E42" s="1">
        <v>144695</v>
      </c>
      <c r="F42" s="1">
        <f t="shared" si="2"/>
        <v>-21391</v>
      </c>
      <c r="G42">
        <f t="shared" si="1"/>
        <v>10588614</v>
      </c>
    </row>
    <row r="43" spans="1:7" x14ac:dyDescent="0.25">
      <c r="A43" s="1">
        <v>1990</v>
      </c>
      <c r="B43" s="1">
        <v>4984904</v>
      </c>
      <c r="C43" s="1">
        <v>5389919</v>
      </c>
      <c r="D43" s="1">
        <v>125679</v>
      </c>
      <c r="E43" s="1">
        <v>145660</v>
      </c>
      <c r="F43" s="1">
        <f t="shared" si="2"/>
        <v>-19981</v>
      </c>
      <c r="G43">
        <f t="shared" si="1"/>
        <v>10374823</v>
      </c>
    </row>
    <row r="44" spans="1:7" x14ac:dyDescent="0.25">
      <c r="A44" s="1">
        <v>1991</v>
      </c>
      <c r="B44" s="1">
        <v>4979833</v>
      </c>
      <c r="C44" s="1">
        <v>5393319</v>
      </c>
      <c r="D44" s="1">
        <v>127207</v>
      </c>
      <c r="E44" s="1">
        <v>144813</v>
      </c>
      <c r="F44" s="1">
        <f t="shared" si="2"/>
        <v>-17606</v>
      </c>
      <c r="G44">
        <f t="shared" si="1"/>
        <v>10373152</v>
      </c>
    </row>
    <row r="45" spans="1:7" x14ac:dyDescent="0.25">
      <c r="A45" s="1">
        <v>1992</v>
      </c>
      <c r="B45" s="1">
        <v>4975730</v>
      </c>
      <c r="C45" s="1">
        <v>5397917</v>
      </c>
      <c r="D45" s="1">
        <v>121724</v>
      </c>
      <c r="E45" s="1">
        <v>148781</v>
      </c>
      <c r="F45" s="1">
        <f t="shared" si="2"/>
        <v>-27057</v>
      </c>
      <c r="G45">
        <f t="shared" si="1"/>
        <v>10373647</v>
      </c>
    </row>
    <row r="46" spans="1:7" x14ac:dyDescent="0.25">
      <c r="A46" s="1">
        <v>1993</v>
      </c>
      <c r="B46" s="1">
        <v>4966328</v>
      </c>
      <c r="C46" s="1">
        <v>5398707</v>
      </c>
      <c r="D46" s="1">
        <v>117033</v>
      </c>
      <c r="E46" s="1">
        <v>150244</v>
      </c>
      <c r="F46" s="1">
        <f t="shared" si="2"/>
        <v>-33211</v>
      </c>
      <c r="G46">
        <f t="shared" si="1"/>
        <v>10365035</v>
      </c>
    </row>
    <row r="47" spans="1:7" x14ac:dyDescent="0.25">
      <c r="A47" s="1">
        <v>1994</v>
      </c>
      <c r="B47" s="1">
        <v>4953428</v>
      </c>
      <c r="C47" s="1">
        <v>5396582</v>
      </c>
      <c r="D47" s="1">
        <v>115598</v>
      </c>
      <c r="E47" s="1">
        <v>146889</v>
      </c>
      <c r="F47" s="1">
        <f t="shared" si="2"/>
        <v>-31291</v>
      </c>
      <c r="G47">
        <f t="shared" si="1"/>
        <v>10350010</v>
      </c>
    </row>
    <row r="48" spans="1:7" x14ac:dyDescent="0.25">
      <c r="A48" s="1">
        <v>1995</v>
      </c>
      <c r="B48" s="1">
        <v>4941620</v>
      </c>
      <c r="C48" s="1">
        <v>5395081</v>
      </c>
      <c r="D48" s="1">
        <v>112054</v>
      </c>
      <c r="E48" s="1">
        <v>145431</v>
      </c>
      <c r="F48" s="1">
        <f t="shared" si="2"/>
        <v>-33377</v>
      </c>
      <c r="G48">
        <f t="shared" si="1"/>
        <v>10336701</v>
      </c>
    </row>
    <row r="49" spans="1:7" x14ac:dyDescent="0.25">
      <c r="A49" s="1">
        <v>1996</v>
      </c>
      <c r="B49" s="1">
        <v>4929222</v>
      </c>
      <c r="C49" s="1">
        <v>5392007</v>
      </c>
      <c r="D49" s="1">
        <v>105272</v>
      </c>
      <c r="E49" s="1">
        <v>143130</v>
      </c>
      <c r="F49" s="1">
        <f t="shared" si="2"/>
        <v>-37858</v>
      </c>
      <c r="G49">
        <f t="shared" si="1"/>
        <v>10321229</v>
      </c>
    </row>
    <row r="50" spans="1:7" x14ac:dyDescent="0.25">
      <c r="A50" s="1">
        <v>1997</v>
      </c>
      <c r="B50" s="1">
        <v>4915956</v>
      </c>
      <c r="C50" s="1">
        <v>5385291</v>
      </c>
      <c r="D50" s="1">
        <v>100350</v>
      </c>
      <c r="E50" s="1">
        <v>139434</v>
      </c>
      <c r="F50" s="1">
        <f t="shared" si="2"/>
        <v>-39084</v>
      </c>
      <c r="G50">
        <f t="shared" si="1"/>
        <v>10301247</v>
      </c>
    </row>
    <row r="51" spans="1:7" x14ac:dyDescent="0.25">
      <c r="A51" s="1">
        <v>1998</v>
      </c>
      <c r="B51" s="1">
        <v>4901764</v>
      </c>
      <c r="C51" s="1">
        <v>5377960</v>
      </c>
      <c r="D51" s="1">
        <v>97301</v>
      </c>
      <c r="E51" s="1">
        <v>140870</v>
      </c>
      <c r="F51" s="1">
        <f t="shared" si="2"/>
        <v>-43569</v>
      </c>
      <c r="G51">
        <f t="shared" si="1"/>
        <v>10279724</v>
      </c>
    </row>
    <row r="52" spans="1:7" x14ac:dyDescent="0.25">
      <c r="A52" s="1">
        <v>1999</v>
      </c>
      <c r="B52" s="1">
        <v>4884396</v>
      </c>
      <c r="C52" s="1">
        <v>5369020</v>
      </c>
      <c r="D52" s="1">
        <v>94645</v>
      </c>
      <c r="E52" s="1">
        <v>143210</v>
      </c>
      <c r="F52" s="1">
        <f t="shared" si="2"/>
        <v>-48565</v>
      </c>
      <c r="G52">
        <f t="shared" si="1"/>
        <v>10253416</v>
      </c>
    </row>
    <row r="53" spans="1:7" x14ac:dyDescent="0.25">
      <c r="A53" s="1">
        <v>2000</v>
      </c>
      <c r="B53" s="1">
        <v>4865194</v>
      </c>
      <c r="C53" s="1">
        <v>5356450</v>
      </c>
      <c r="D53" s="1">
        <v>97597</v>
      </c>
      <c r="E53" s="1">
        <v>135601</v>
      </c>
      <c r="F53" s="1">
        <f t="shared" si="2"/>
        <v>-38004</v>
      </c>
      <c r="G53">
        <f t="shared" si="1"/>
        <v>10221644</v>
      </c>
    </row>
    <row r="54" spans="1:7" x14ac:dyDescent="0.25">
      <c r="A54" s="1">
        <v>2001</v>
      </c>
      <c r="B54" s="1">
        <v>4851012</v>
      </c>
      <c r="C54" s="1">
        <v>5349286</v>
      </c>
      <c r="D54" s="1">
        <v>97047</v>
      </c>
      <c r="E54" s="1">
        <v>132183</v>
      </c>
      <c r="F54" s="1">
        <f t="shared" si="2"/>
        <v>-35136</v>
      </c>
      <c r="G54">
        <f t="shared" si="1"/>
        <v>10200298</v>
      </c>
    </row>
    <row r="55" spans="1:7" x14ac:dyDescent="0.25">
      <c r="A55" s="1">
        <v>2002</v>
      </c>
      <c r="B55" s="1">
        <v>4836980</v>
      </c>
      <c r="C55" s="1">
        <v>5337873</v>
      </c>
      <c r="D55" s="1">
        <v>96804</v>
      </c>
      <c r="E55" s="1">
        <v>132833</v>
      </c>
      <c r="F55" s="1">
        <f t="shared" si="2"/>
        <v>-36029</v>
      </c>
      <c r="G55">
        <f t="shared" si="1"/>
        <v>10174853</v>
      </c>
    </row>
    <row r="56" spans="1:7" x14ac:dyDescent="0.25">
      <c r="A56" s="1">
        <v>2003</v>
      </c>
      <c r="B56" s="1">
        <v>4818456</v>
      </c>
      <c r="C56" s="1">
        <v>5323906</v>
      </c>
      <c r="D56" s="1">
        <v>94647</v>
      </c>
      <c r="E56" s="1">
        <v>135823</v>
      </c>
      <c r="F56" s="1">
        <f t="shared" si="2"/>
        <v>-41176</v>
      </c>
      <c r="G56">
        <f t="shared" si="1"/>
        <v>10142362</v>
      </c>
    </row>
    <row r="57" spans="1:7" x14ac:dyDescent="0.25">
      <c r="A57" s="1">
        <v>2004</v>
      </c>
      <c r="B57" s="1">
        <v>4804113</v>
      </c>
      <c r="C57" s="1">
        <v>5312629</v>
      </c>
      <c r="D57" s="1">
        <v>95100</v>
      </c>
      <c r="E57" s="1">
        <v>132500</v>
      </c>
      <c r="F57" s="1">
        <f t="shared" si="2"/>
        <v>-37400</v>
      </c>
      <c r="G57">
        <f t="shared" si="1"/>
        <v>10116742</v>
      </c>
    </row>
    <row r="58" spans="1:7" x14ac:dyDescent="0.25">
      <c r="D58" s="1">
        <f>MIN(D3:D57)</f>
        <v>94645</v>
      </c>
      <c r="E58" s="1">
        <f>MAX(E3:E57)</f>
        <v>150244</v>
      </c>
      <c r="F58" s="4"/>
    </row>
    <row r="59" spans="1:7" x14ac:dyDescent="0.25">
      <c r="E59" s="1">
        <f>nepesseg[[#Totals],[Halálozás]]-nepesseg[[#Totals],[Élveszületés]]</f>
        <v>55599</v>
      </c>
    </row>
  </sheetData>
  <mergeCells count="4">
    <mergeCell ref="A1:G1"/>
    <mergeCell ref="H5:J5"/>
    <mergeCell ref="H6:J6"/>
    <mergeCell ref="H7:M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ECDA-7441-4AD9-A4EB-3EFDBB1DC7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738E73-2284-4658-8C61-377324D665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Köteles Marcell</cp:lastModifiedBy>
  <dcterms:created xsi:type="dcterms:W3CDTF">2023-11-22T07:42:33Z</dcterms:created>
  <dcterms:modified xsi:type="dcterms:W3CDTF">2024-02-19T12:49:05Z</dcterms:modified>
</cp:coreProperties>
</file>