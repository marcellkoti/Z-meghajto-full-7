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DB8D732-21E8-48DF-ABE9-CA7977F0064F}" xr6:coauthVersionLast="36" xr6:coauthVersionMax="36" xr10:uidLastSave="{00000000-0000-0000-0000-000000000000}"/>
  <bookViews>
    <workbookView xWindow="0" yWindow="0" windowWidth="28800" windowHeight="12225" xr2:uid="{AD224303-5F41-45D6-82D2-649509EC9BC4}"/>
  </bookViews>
  <sheets>
    <sheet name="Munka2" sheetId="2" r:id="rId1"/>
    <sheet name="Munka1" sheetId="1" r:id="rId2"/>
  </sheets>
  <definedNames>
    <definedName name="KülsőAdatok_1" localSheetId="0" hidden="1">Munka2!$A$1:$G$433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2" l="1"/>
  <c r="O14" i="2"/>
  <c r="N14" i="2"/>
  <c r="N1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N10" i="2" l="1"/>
  <c r="O5" i="2"/>
  <c r="N5" i="2"/>
  <c r="N4" i="2"/>
  <c r="N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2" i="2"/>
  <c r="L9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2" i="2"/>
  <c r="L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D9EE0C-6023-413F-957C-A693C18036F8}" keepAlive="1" name="Lekérdezés - autoadatok" description="A munkafüzetben levő „autoadatok” lekérdezés kapcsolata" type="5" refreshedVersion="6" background="1" saveData="1">
    <dbPr connection="Provider=Microsoft.Mashup.OleDb.1;Data Source=$Workbook$;Location=autoadatok;Extended Properties=&quot;&quot;" command="SELECT * FROM [autoadatok]"/>
  </connection>
</connections>
</file>

<file path=xl/sharedStrings.xml><?xml version="1.0" encoding="utf-8"?>
<sst xmlns="http://schemas.openxmlformats.org/spreadsheetml/2006/main" count="448" uniqueCount="89">
  <si>
    <t>Dátum</t>
  </si>
  <si>
    <t>Távolság (km)</t>
  </si>
  <si>
    <t>Mennyiség (liter)</t>
  </si>
  <si>
    <t>Ár (Ft)</t>
  </si>
  <si>
    <t>Benzinkút azonosítója</t>
  </si>
  <si>
    <t>Benzinár (Ft/l)</t>
  </si>
  <si>
    <t>Fogyasztás (l/100km)</t>
  </si>
  <si>
    <t>N3</t>
  </si>
  <si>
    <t>NA</t>
  </si>
  <si>
    <t>N12</t>
  </si>
  <si>
    <t>A1</t>
  </si>
  <si>
    <t>A2</t>
  </si>
  <si>
    <t>O13</t>
  </si>
  <si>
    <t>S1</t>
  </si>
  <si>
    <t>N1</t>
  </si>
  <si>
    <t>E5</t>
  </si>
  <si>
    <t>O1</t>
  </si>
  <si>
    <t>A3</t>
  </si>
  <si>
    <t>M2</t>
  </si>
  <si>
    <t>G1</t>
  </si>
  <si>
    <t>S2</t>
  </si>
  <si>
    <t>S3</t>
  </si>
  <si>
    <t>M1</t>
  </si>
  <si>
    <t>M3</t>
  </si>
  <si>
    <t>O2</t>
  </si>
  <si>
    <t>E3</t>
  </si>
  <si>
    <t>S4</t>
  </si>
  <si>
    <t>S5</t>
  </si>
  <si>
    <t>O3</t>
  </si>
  <si>
    <t>E4</t>
  </si>
  <si>
    <t>O4</t>
  </si>
  <si>
    <t>E2</t>
  </si>
  <si>
    <t>M4</t>
  </si>
  <si>
    <t>O5</t>
  </si>
  <si>
    <t>E1</t>
  </si>
  <si>
    <t>J1</t>
  </si>
  <si>
    <t>T1</t>
  </si>
  <si>
    <t>M5</t>
  </si>
  <si>
    <t>M6</t>
  </si>
  <si>
    <t>M7</t>
  </si>
  <si>
    <t>J2</t>
  </si>
  <si>
    <t>E6</t>
  </si>
  <si>
    <t>M8</t>
  </si>
  <si>
    <t>E7</t>
  </si>
  <si>
    <t>E8</t>
  </si>
  <si>
    <t>O6</t>
  </si>
  <si>
    <t>O7</t>
  </si>
  <si>
    <t>O8</t>
  </si>
  <si>
    <t>O9</t>
  </si>
  <si>
    <t>M9</t>
  </si>
  <si>
    <t>E9</t>
  </si>
  <si>
    <t>G2</t>
  </si>
  <si>
    <t>G3</t>
  </si>
  <si>
    <t>G4</t>
  </si>
  <si>
    <t>M10</t>
  </si>
  <si>
    <t>J3</t>
  </si>
  <si>
    <t>G5</t>
  </si>
  <si>
    <t>G6</t>
  </si>
  <si>
    <t>B1</t>
  </si>
  <si>
    <t>M11</t>
  </si>
  <si>
    <t>G7</t>
  </si>
  <si>
    <t>G8</t>
  </si>
  <si>
    <t>O10</t>
  </si>
  <si>
    <t>O11</t>
  </si>
  <si>
    <t>N2</t>
  </si>
  <si>
    <t>G9</t>
  </si>
  <si>
    <t>G10</t>
  </si>
  <si>
    <t>G11</t>
  </si>
  <si>
    <t>S6</t>
  </si>
  <si>
    <t>L1</t>
  </si>
  <si>
    <t>D1</t>
  </si>
  <si>
    <t>L2</t>
  </si>
  <si>
    <t>G12</t>
  </si>
  <si>
    <t>O12</t>
  </si>
  <si>
    <t>P1</t>
  </si>
  <si>
    <t>P2</t>
  </si>
  <si>
    <t>P3</t>
  </si>
  <si>
    <t>V1</t>
  </si>
  <si>
    <t>V2</t>
  </si>
  <si>
    <t>S7</t>
  </si>
  <si>
    <t>Átlagosan mennyit fizettem naponta a benzinért?</t>
  </si>
  <si>
    <t>Átlagosan mennyit mentem naponta?</t>
  </si>
  <si>
    <t>Mennyi volt a leghosszabb és legrövidebb út?</t>
  </si>
  <si>
    <t>Mennyi volt a 3 top fogyasztás?</t>
  </si>
  <si>
    <t>Hányszor tankoltam a A1 elnevetésű benzinkúton</t>
  </si>
  <si>
    <t>?</t>
  </si>
  <si>
    <t>Pihenő</t>
  </si>
  <si>
    <t>Hány napon nem kellet pihenőt tartani?</t>
  </si>
  <si>
    <t>Mely napon mentünk a legkevesebbet?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</si>
</sst>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á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ülsőAdatok_1" connectionId="1" xr16:uid="{4D6FBFC4-D378-439F-9EAC-E466FA134654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Dátum" tableColumnId="1"/>
      <queryTableField id="2" name="Távolság (km)" tableColumnId="2"/>
      <queryTableField id="3" name="Mennyiség (liter)" tableColumnId="3"/>
      <queryTableField id="4" name="Ár (Ft)" tableColumnId="4"/>
      <queryTableField id="5" name="Benzinkút azonosítója" tableColumnId="5"/>
      <queryTableField id="6" name="Benzinár (Ft/l)" tableColumnId="6"/>
      <queryTableField id="7" name="Fogyasztás (l/100km)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52FDF-5981-4180-90B8-A98656419085}" name="autoadatok" displayName="autoadatok" ref="A1:H433" tableType="queryTable" totalsRowShown="0">
  <autoFilter ref="A1:H433" xr:uid="{AA213EC6-0740-4491-841F-C581BDBDD6F3}"/>
  <tableColumns count="8">
    <tableColumn id="1" xr3:uid="{E383EB40-0AFB-4F6B-BCE7-78538DA3DA23}" uniqueName="1" name="Dátum" queryTableFieldId="1" dataDxfId="4"/>
    <tableColumn id="2" xr3:uid="{F0C0A009-7355-4386-8782-B349E1792597}" uniqueName="2" name="Távolság (km)" queryTableFieldId="2"/>
    <tableColumn id="3" xr3:uid="{6EB6D1BD-185B-4E30-A58A-CDAC2851598C}" uniqueName="3" name="Mennyiség (liter)" queryTableFieldId="3"/>
    <tableColumn id="4" xr3:uid="{9846C62C-1135-47BA-B500-9D198B21914C}" uniqueName="4" name="Ár (Ft)" queryTableFieldId="4"/>
    <tableColumn id="5" xr3:uid="{4A059265-FDC5-4798-976C-7E336E1D47D1}" uniqueName="5" name="Benzinkút azonosítója" queryTableFieldId="5" dataDxfId="3"/>
    <tableColumn id="6" xr3:uid="{09900F38-7BD9-473D-A553-233B34D04E61}" uniqueName="6" name="Benzinár (Ft/l)" queryTableFieldId="6" dataDxfId="2"/>
    <tableColumn id="7" xr3:uid="{2D3E1F43-BC40-47A6-9F43-9FD0E30F37CB}" uniqueName="7" name="Fogyasztás (l/100km)" queryTableFieldId="7" dataDxfId="1"/>
    <tableColumn id="8" xr3:uid="{A071A86E-3BA1-4A77-87A4-E19F2A97506E}" uniqueName="8" name="Pihenő" queryTableFieldId="8" dataDxfId="0">
      <calculatedColumnFormula>IF(B2&lt;600,IF(B2&lt;300,"","1 pihenő"),"2 pihenő")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2F11-816A-4911-A8A7-3CCB557EE975}">
  <dimension ref="A1:O433"/>
  <sheetViews>
    <sheetView tabSelected="1" workbookViewId="0">
      <selection activeCell="N16" sqref="N16"/>
    </sheetView>
  </sheetViews>
  <sheetFormatPr defaultRowHeight="15" x14ac:dyDescent="0.25"/>
  <cols>
    <col min="1" max="1" width="10.140625" bestFit="1" customWidth="1"/>
    <col min="2" max="2" width="15.5703125" bestFit="1" customWidth="1"/>
    <col min="3" max="3" width="18.85546875" bestFit="1" customWidth="1"/>
    <col min="4" max="4" width="8.85546875" bestFit="1" customWidth="1"/>
    <col min="5" max="5" width="23" bestFit="1" customWidth="1"/>
    <col min="6" max="6" width="16.140625" bestFit="1" customWidth="1"/>
    <col min="7" max="7" width="22" bestFit="1" customWidth="1"/>
    <col min="14" max="14" width="10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86</v>
      </c>
    </row>
    <row r="2" spans="1:15" x14ac:dyDescent="0.25">
      <c r="A2" s="1">
        <v>36347</v>
      </c>
      <c r="B2">
        <v>384.4</v>
      </c>
      <c r="C2">
        <v>26.6</v>
      </c>
      <c r="D2">
        <v>5024</v>
      </c>
      <c r="E2" s="2" t="s">
        <v>7</v>
      </c>
      <c r="F2" s="2">
        <f>D2/C2</f>
        <v>188.8721804511278</v>
      </c>
      <c r="G2" s="2">
        <f>C2/B2*100</f>
        <v>6.9198751300728416</v>
      </c>
      <c r="H2" s="2" t="str">
        <f t="shared" ref="H2:H65" si="0">IF(B2&lt;600,IF(B2&lt;300,"","1 pihenő"),"2 pihenő")</f>
        <v>1 pihenő</v>
      </c>
    </row>
    <row r="3" spans="1:15" x14ac:dyDescent="0.25">
      <c r="A3" s="1">
        <v>36355</v>
      </c>
      <c r="B3">
        <v>485.4</v>
      </c>
      <c r="C3">
        <v>31.9</v>
      </c>
      <c r="D3">
        <v>6023</v>
      </c>
      <c r="E3" s="2" t="s">
        <v>8</v>
      </c>
      <c r="F3" s="2">
        <f t="shared" ref="F3:F66" si="1">D3/C3</f>
        <v>188.80877742946709</v>
      </c>
      <c r="G3" s="2">
        <f t="shared" ref="G3:G66" si="2">C3/B3*100</f>
        <v>6.5718994643592916</v>
      </c>
      <c r="H3" s="2" t="str">
        <f t="shared" si="0"/>
        <v>1 pihenő</v>
      </c>
      <c r="I3" t="s">
        <v>80</v>
      </c>
      <c r="N3">
        <f>AVERAGE(autoadatok[Ár (Ft)])</f>
        <v>10773.636574074075</v>
      </c>
    </row>
    <row r="4" spans="1:15" x14ac:dyDescent="0.25">
      <c r="A4" s="1">
        <v>36358</v>
      </c>
      <c r="B4">
        <v>497.9</v>
      </c>
      <c r="C4">
        <v>33.299999999999997</v>
      </c>
      <c r="D4">
        <v>6287</v>
      </c>
      <c r="E4" s="2" t="s">
        <v>9</v>
      </c>
      <c r="F4" s="2">
        <f t="shared" si="1"/>
        <v>188.79879879879883</v>
      </c>
      <c r="G4" s="2">
        <f t="shared" si="2"/>
        <v>6.6880899779072109</v>
      </c>
      <c r="H4" s="2" t="str">
        <f t="shared" si="0"/>
        <v>1 pihenő</v>
      </c>
      <c r="I4" t="s">
        <v>81</v>
      </c>
      <c r="N4">
        <f>AVERAGE(autoadatok[Távolság (km)])</f>
        <v>549.85949074074063</v>
      </c>
    </row>
    <row r="5" spans="1:15" x14ac:dyDescent="0.25">
      <c r="A5" s="1">
        <v>36371</v>
      </c>
      <c r="B5">
        <v>632</v>
      </c>
      <c r="C5">
        <v>42.06</v>
      </c>
      <c r="D5">
        <v>7941</v>
      </c>
      <c r="E5" s="2" t="s">
        <v>8</v>
      </c>
      <c r="F5" s="2">
        <f t="shared" si="1"/>
        <v>188.80171184022822</v>
      </c>
      <c r="G5" s="2">
        <f t="shared" si="2"/>
        <v>6.6550632911392409</v>
      </c>
      <c r="H5" s="2" t="str">
        <f t="shared" si="0"/>
        <v>2 pihenő</v>
      </c>
      <c r="I5" t="s">
        <v>82</v>
      </c>
      <c r="N5">
        <f>MAX(autoadatok[Távolság (km)])</f>
        <v>740</v>
      </c>
      <c r="O5">
        <f>MIN(autoadatok[Távolság (km)])</f>
        <v>130</v>
      </c>
    </row>
    <row r="6" spans="1:15" x14ac:dyDescent="0.25">
      <c r="A6" s="1">
        <v>36372</v>
      </c>
      <c r="B6">
        <v>301.3</v>
      </c>
      <c r="C6">
        <v>17.11</v>
      </c>
      <c r="D6">
        <v>3231</v>
      </c>
      <c r="E6" s="2" t="s">
        <v>8</v>
      </c>
      <c r="F6" s="2">
        <f t="shared" si="1"/>
        <v>188.83693746347166</v>
      </c>
      <c r="G6" s="2">
        <f t="shared" si="2"/>
        <v>5.6787255227348155</v>
      </c>
      <c r="H6" s="2" t="str">
        <f t="shared" si="0"/>
        <v>1 pihenő</v>
      </c>
      <c r="I6" t="s">
        <v>83</v>
      </c>
    </row>
    <row r="7" spans="1:15" x14ac:dyDescent="0.25">
      <c r="A7" s="1">
        <v>36378</v>
      </c>
      <c r="B7">
        <v>553.29999999999995</v>
      </c>
      <c r="C7">
        <v>37.340000000000003</v>
      </c>
      <c r="D7">
        <v>7278</v>
      </c>
      <c r="E7" s="2" t="s">
        <v>10</v>
      </c>
      <c r="F7" s="2">
        <f t="shared" si="1"/>
        <v>194.91162292447774</v>
      </c>
      <c r="G7" s="2">
        <f t="shared" si="2"/>
        <v>6.7485993132116411</v>
      </c>
      <c r="H7" s="2" t="str">
        <f t="shared" si="0"/>
        <v>1 pihenő</v>
      </c>
      <c r="K7">
        <v>1</v>
      </c>
      <c r="L7">
        <f>MIN(autoadatok[Fogyasztás (l/100km)])</f>
        <v>5.2807881773399021</v>
      </c>
    </row>
    <row r="8" spans="1:15" x14ac:dyDescent="0.25">
      <c r="A8" s="1">
        <v>36384</v>
      </c>
      <c r="B8">
        <v>244.7</v>
      </c>
      <c r="C8">
        <v>16.899999999999999</v>
      </c>
      <c r="D8">
        <v>3328</v>
      </c>
      <c r="E8" s="2" t="s">
        <v>10</v>
      </c>
      <c r="F8" s="2">
        <f t="shared" si="1"/>
        <v>196.92307692307693</v>
      </c>
      <c r="G8" s="2">
        <f t="shared" si="2"/>
        <v>6.9064160196158557</v>
      </c>
      <c r="H8" s="2" t="str">
        <f t="shared" si="0"/>
        <v/>
      </c>
      <c r="K8">
        <v>2</v>
      </c>
    </row>
    <row r="9" spans="1:15" x14ac:dyDescent="0.25">
      <c r="A9" s="1">
        <v>36392</v>
      </c>
      <c r="B9">
        <v>573</v>
      </c>
      <c r="C9">
        <v>38.159999999999997</v>
      </c>
      <c r="D9">
        <v>7628</v>
      </c>
      <c r="E9" s="2" t="s">
        <v>8</v>
      </c>
      <c r="F9" s="2">
        <f t="shared" si="1"/>
        <v>199.89517819706501</v>
      </c>
      <c r="G9" s="2">
        <f t="shared" si="2"/>
        <v>6.6596858638743459</v>
      </c>
      <c r="H9" s="2" t="str">
        <f t="shared" si="0"/>
        <v>1 pihenő</v>
      </c>
      <c r="K9">
        <v>3</v>
      </c>
      <c r="L9">
        <f>MAX(autoadatok[Fogyasztás (l/100km)])</f>
        <v>8.5183044315992298</v>
      </c>
    </row>
    <row r="10" spans="1:15" x14ac:dyDescent="0.25">
      <c r="A10" s="1">
        <v>36394</v>
      </c>
      <c r="B10">
        <v>451.1</v>
      </c>
      <c r="C10">
        <v>35.520000000000003</v>
      </c>
      <c r="D10">
        <v>7030</v>
      </c>
      <c r="E10" s="2" t="s">
        <v>8</v>
      </c>
      <c r="F10" s="2">
        <f t="shared" si="1"/>
        <v>197.91666666666666</v>
      </c>
      <c r="G10" s="2">
        <f t="shared" si="2"/>
        <v>7.8740855686100648</v>
      </c>
      <c r="H10" s="2" t="str">
        <f t="shared" si="0"/>
        <v>1 pihenő</v>
      </c>
      <c r="I10" t="s">
        <v>84</v>
      </c>
      <c r="M10" t="s">
        <v>85</v>
      </c>
      <c r="N10">
        <f>COUNTIF(E2:E433,"A1")</f>
        <v>56</v>
      </c>
    </row>
    <row r="11" spans="1:15" x14ac:dyDescent="0.25">
      <c r="A11" s="1">
        <v>36402</v>
      </c>
      <c r="B11">
        <v>582.5</v>
      </c>
      <c r="C11">
        <v>41.48</v>
      </c>
      <c r="D11">
        <v>8292</v>
      </c>
      <c r="E11" s="2" t="s">
        <v>10</v>
      </c>
      <c r="F11" s="2">
        <f t="shared" si="1"/>
        <v>199.90356798457088</v>
      </c>
      <c r="G11" s="2">
        <f t="shared" si="2"/>
        <v>7.1210300429184539</v>
      </c>
      <c r="H11" s="2" t="str">
        <f t="shared" si="0"/>
        <v>1 pihenő</v>
      </c>
    </row>
    <row r="12" spans="1:15" x14ac:dyDescent="0.25">
      <c r="A12" s="1">
        <v>36411</v>
      </c>
      <c r="B12">
        <v>627.79999999999995</v>
      </c>
      <c r="C12">
        <v>43.17</v>
      </c>
      <c r="D12">
        <v>8457</v>
      </c>
      <c r="E12" s="2" t="s">
        <v>11</v>
      </c>
      <c r="F12" s="2">
        <f t="shared" si="1"/>
        <v>195.89993050729672</v>
      </c>
      <c r="G12" s="2">
        <f t="shared" si="2"/>
        <v>6.8763937559732407</v>
      </c>
      <c r="H12" s="2" t="str">
        <f t="shared" si="0"/>
        <v>2 pihenő</v>
      </c>
      <c r="I12" t="s">
        <v>87</v>
      </c>
      <c r="N12">
        <f>COUNTBLANK(autoadatok[Pihenő])</f>
        <v>13</v>
      </c>
    </row>
    <row r="13" spans="1:15" x14ac:dyDescent="0.25">
      <c r="A13" s="1">
        <v>36421</v>
      </c>
      <c r="B13">
        <v>579.1</v>
      </c>
      <c r="C13">
        <v>40.64</v>
      </c>
      <c r="D13">
        <v>8002</v>
      </c>
      <c r="E13" s="2" t="s">
        <v>11</v>
      </c>
      <c r="F13" s="2">
        <f t="shared" si="1"/>
        <v>196.89960629921259</v>
      </c>
      <c r="G13" s="2">
        <f t="shared" si="2"/>
        <v>7.0177862199965464</v>
      </c>
      <c r="H13" s="2" t="str">
        <f t="shared" si="0"/>
        <v>1 pihenő</v>
      </c>
    </row>
    <row r="14" spans="1:15" x14ac:dyDescent="0.25">
      <c r="A14" s="1">
        <v>36427</v>
      </c>
      <c r="B14">
        <v>542.6</v>
      </c>
      <c r="C14">
        <v>36.369999999999997</v>
      </c>
      <c r="D14">
        <v>7343</v>
      </c>
      <c r="E14" s="2" t="s">
        <v>10</v>
      </c>
      <c r="F14" s="2">
        <f t="shared" si="1"/>
        <v>201.8971679956008</v>
      </c>
      <c r="G14" s="2">
        <f t="shared" si="2"/>
        <v>6.7029119056395121</v>
      </c>
      <c r="H14" s="2" t="str">
        <f t="shared" si="0"/>
        <v>1 pihenő</v>
      </c>
      <c r="I14" t="s">
        <v>88</v>
      </c>
      <c r="N14">
        <f>MATCH(O5,B2:B433,0)</f>
        <v>171</v>
      </c>
      <c r="O14">
        <f>INDEX(A2:A433,N14)</f>
        <v>38171</v>
      </c>
    </row>
    <row r="15" spans="1:15" x14ac:dyDescent="0.25">
      <c r="A15" s="1">
        <v>36435</v>
      </c>
      <c r="B15">
        <v>538</v>
      </c>
      <c r="C15">
        <v>37.28</v>
      </c>
      <c r="D15">
        <v>7564</v>
      </c>
      <c r="E15" s="2" t="s">
        <v>8</v>
      </c>
      <c r="F15" s="2">
        <f t="shared" si="1"/>
        <v>202.89699570815449</v>
      </c>
      <c r="G15" s="2">
        <f t="shared" si="2"/>
        <v>6.9293680297397771</v>
      </c>
      <c r="H15" s="2" t="str">
        <f t="shared" si="0"/>
        <v>1 pihenő</v>
      </c>
    </row>
    <row r="16" spans="1:15" x14ac:dyDescent="0.25">
      <c r="A16" s="1">
        <v>36443</v>
      </c>
      <c r="B16">
        <v>507</v>
      </c>
      <c r="C16">
        <v>37.799999999999997</v>
      </c>
      <c r="D16">
        <v>7670</v>
      </c>
      <c r="E16" s="2" t="s">
        <v>12</v>
      </c>
      <c r="F16" s="2">
        <f t="shared" si="1"/>
        <v>202.91005291005291</v>
      </c>
      <c r="G16" s="2">
        <f t="shared" si="2"/>
        <v>7.4556213017751478</v>
      </c>
      <c r="H16" s="2" t="str">
        <f t="shared" si="0"/>
        <v>1 pihenő</v>
      </c>
      <c r="N16" s="1">
        <f>INDEX(A2:A433,MATCH(MIN(B2:B433),B2:B433,0))</f>
        <v>38171</v>
      </c>
    </row>
    <row r="17" spans="1:8" x14ac:dyDescent="0.25">
      <c r="A17" s="1">
        <v>36448</v>
      </c>
      <c r="B17">
        <v>534.29999999999995</v>
      </c>
      <c r="C17">
        <v>36.54</v>
      </c>
      <c r="D17">
        <v>7341</v>
      </c>
      <c r="E17" s="2" t="s">
        <v>10</v>
      </c>
      <c r="F17" s="2">
        <f t="shared" si="1"/>
        <v>200.90311986863711</v>
      </c>
      <c r="G17" s="2">
        <f t="shared" si="2"/>
        <v>6.8388545760808537</v>
      </c>
      <c r="H17" s="2" t="str">
        <f t="shared" si="0"/>
        <v>1 pihenő</v>
      </c>
    </row>
    <row r="18" spans="1:8" x14ac:dyDescent="0.25">
      <c r="A18" s="1">
        <v>36456</v>
      </c>
      <c r="B18">
        <v>445.7</v>
      </c>
      <c r="C18">
        <v>32.380000000000003</v>
      </c>
      <c r="D18">
        <v>6505</v>
      </c>
      <c r="E18" s="2" t="s">
        <v>8</v>
      </c>
      <c r="F18" s="2">
        <f t="shared" si="1"/>
        <v>200.89561457689931</v>
      </c>
      <c r="G18" s="2">
        <f t="shared" si="2"/>
        <v>7.2649764415526148</v>
      </c>
      <c r="H18" s="2" t="str">
        <f t="shared" si="0"/>
        <v>1 pihenő</v>
      </c>
    </row>
    <row r="19" spans="1:8" x14ac:dyDescent="0.25">
      <c r="A19" s="1">
        <v>36461</v>
      </c>
      <c r="B19">
        <v>531.79999999999995</v>
      </c>
      <c r="C19">
        <v>42.02</v>
      </c>
      <c r="D19">
        <v>8274</v>
      </c>
      <c r="E19" s="2" t="s">
        <v>11</v>
      </c>
      <c r="F19" s="2">
        <f t="shared" si="1"/>
        <v>196.90623512613041</v>
      </c>
      <c r="G19" s="2">
        <f t="shared" si="2"/>
        <v>7.901466716810833</v>
      </c>
      <c r="H19" s="2" t="str">
        <f t="shared" si="0"/>
        <v>1 pihenő</v>
      </c>
    </row>
    <row r="20" spans="1:8" x14ac:dyDescent="0.25">
      <c r="A20" s="1">
        <v>36470</v>
      </c>
      <c r="B20">
        <v>543.1</v>
      </c>
      <c r="C20">
        <v>40.020000000000003</v>
      </c>
      <c r="D20">
        <v>7920</v>
      </c>
      <c r="E20" s="2" t="s">
        <v>8</v>
      </c>
      <c r="F20" s="2">
        <f t="shared" si="1"/>
        <v>197.90104947526234</v>
      </c>
      <c r="G20" s="2">
        <f t="shared" si="2"/>
        <v>7.3688086908488311</v>
      </c>
      <c r="H20" s="2" t="str">
        <f t="shared" si="0"/>
        <v>1 pihenő</v>
      </c>
    </row>
    <row r="21" spans="1:8" x14ac:dyDescent="0.25">
      <c r="A21" s="1">
        <v>36476</v>
      </c>
      <c r="B21">
        <v>559</v>
      </c>
      <c r="C21">
        <v>43.66</v>
      </c>
      <c r="D21">
        <v>8706</v>
      </c>
      <c r="E21" s="2" t="s">
        <v>10</v>
      </c>
      <c r="F21" s="2">
        <f t="shared" si="1"/>
        <v>199.40448923499773</v>
      </c>
      <c r="G21" s="2">
        <f t="shared" si="2"/>
        <v>7.810375670840787</v>
      </c>
      <c r="H21" s="2" t="str">
        <f t="shared" si="0"/>
        <v>1 pihenő</v>
      </c>
    </row>
    <row r="22" spans="1:8" x14ac:dyDescent="0.25">
      <c r="A22" s="1">
        <v>36486</v>
      </c>
      <c r="B22">
        <v>375.5</v>
      </c>
      <c r="C22">
        <v>30.56</v>
      </c>
      <c r="D22">
        <v>6140</v>
      </c>
      <c r="E22" s="2" t="s">
        <v>11</v>
      </c>
      <c r="F22" s="2">
        <f t="shared" si="1"/>
        <v>200.91623036649216</v>
      </c>
      <c r="G22" s="2">
        <f t="shared" si="2"/>
        <v>8.1384820239680433</v>
      </c>
      <c r="H22" s="2" t="str">
        <f t="shared" si="0"/>
        <v>1 pihenő</v>
      </c>
    </row>
    <row r="23" spans="1:8" x14ac:dyDescent="0.25">
      <c r="A23" s="1">
        <v>36494</v>
      </c>
      <c r="B23">
        <v>438.3</v>
      </c>
      <c r="C23">
        <v>34.79</v>
      </c>
      <c r="D23">
        <v>7059</v>
      </c>
      <c r="E23" s="2" t="s">
        <v>11</v>
      </c>
      <c r="F23" s="2">
        <f t="shared" si="1"/>
        <v>202.9031330842196</v>
      </c>
      <c r="G23" s="2">
        <f t="shared" si="2"/>
        <v>7.9374857403604837</v>
      </c>
      <c r="H23" s="2" t="str">
        <f t="shared" si="0"/>
        <v>1 pihenő</v>
      </c>
    </row>
    <row r="24" spans="1:8" x14ac:dyDescent="0.25">
      <c r="A24" s="1">
        <v>36499</v>
      </c>
      <c r="B24">
        <v>452.3</v>
      </c>
      <c r="C24">
        <v>34.090000000000003</v>
      </c>
      <c r="D24">
        <v>7019</v>
      </c>
      <c r="E24" s="2" t="s">
        <v>12</v>
      </c>
      <c r="F24" s="2">
        <f t="shared" si="1"/>
        <v>205.89615723085947</v>
      </c>
      <c r="G24" s="2">
        <f t="shared" si="2"/>
        <v>7.5370329427371221</v>
      </c>
      <c r="H24" s="2" t="str">
        <f t="shared" si="0"/>
        <v>1 pihenő</v>
      </c>
    </row>
    <row r="25" spans="1:8" x14ac:dyDescent="0.25">
      <c r="A25" s="1">
        <v>36510</v>
      </c>
      <c r="B25">
        <v>528.9</v>
      </c>
      <c r="C25">
        <v>38.01</v>
      </c>
      <c r="D25">
        <v>7788</v>
      </c>
      <c r="E25" s="2" t="s">
        <v>11</v>
      </c>
      <c r="F25" s="2">
        <f t="shared" si="1"/>
        <v>204.89344909234413</v>
      </c>
      <c r="G25" s="2">
        <f t="shared" si="2"/>
        <v>7.1866137266023822</v>
      </c>
      <c r="H25" s="2" t="str">
        <f t="shared" si="0"/>
        <v>1 pihenő</v>
      </c>
    </row>
    <row r="26" spans="1:8" x14ac:dyDescent="0.25">
      <c r="A26" s="1">
        <v>36513</v>
      </c>
      <c r="B26">
        <v>564</v>
      </c>
      <c r="C26">
        <v>44.25</v>
      </c>
      <c r="D26">
        <v>9598</v>
      </c>
      <c r="E26" s="2" t="s">
        <v>13</v>
      </c>
      <c r="F26" s="2">
        <f t="shared" si="1"/>
        <v>216.90395480225988</v>
      </c>
      <c r="G26" s="2">
        <f t="shared" si="2"/>
        <v>7.8457446808510634</v>
      </c>
      <c r="H26" s="2" t="str">
        <f t="shared" si="0"/>
        <v>1 pihenő</v>
      </c>
    </row>
    <row r="27" spans="1:8" x14ac:dyDescent="0.25">
      <c r="A27" s="1">
        <v>36522</v>
      </c>
      <c r="B27">
        <v>554.4</v>
      </c>
      <c r="C27">
        <v>40</v>
      </c>
      <c r="D27">
        <v>8276</v>
      </c>
      <c r="E27" s="2" t="s">
        <v>8</v>
      </c>
      <c r="F27" s="2">
        <f t="shared" si="1"/>
        <v>206.9</v>
      </c>
      <c r="G27" s="2">
        <f t="shared" si="2"/>
        <v>7.2150072150072155</v>
      </c>
      <c r="H27" s="2" t="str">
        <f t="shared" si="0"/>
        <v>1 pihenő</v>
      </c>
    </row>
    <row r="28" spans="1:8" x14ac:dyDescent="0.25">
      <c r="A28" s="1">
        <v>36532</v>
      </c>
      <c r="B28">
        <v>548.70000000000005</v>
      </c>
      <c r="C28">
        <v>41.48</v>
      </c>
      <c r="D28">
        <v>8707</v>
      </c>
      <c r="E28" s="2" t="s">
        <v>11</v>
      </c>
      <c r="F28" s="2">
        <f t="shared" si="1"/>
        <v>209.90838958534235</v>
      </c>
      <c r="G28" s="2">
        <f t="shared" si="2"/>
        <v>7.5596865318024413</v>
      </c>
      <c r="H28" s="2" t="str">
        <f t="shared" si="0"/>
        <v>1 pihenő</v>
      </c>
    </row>
    <row r="29" spans="1:8" x14ac:dyDescent="0.25">
      <c r="A29" s="1">
        <v>36541</v>
      </c>
      <c r="B29">
        <v>471.3</v>
      </c>
      <c r="C29">
        <v>36.22</v>
      </c>
      <c r="D29">
        <v>7530</v>
      </c>
      <c r="E29" s="2" t="s">
        <v>8</v>
      </c>
      <c r="F29" s="2">
        <f t="shared" si="1"/>
        <v>207.89618995030369</v>
      </c>
      <c r="G29" s="2">
        <f t="shared" si="2"/>
        <v>7.6851262465520893</v>
      </c>
      <c r="H29" s="2" t="str">
        <f t="shared" si="0"/>
        <v>1 pihenő</v>
      </c>
    </row>
    <row r="30" spans="1:8" x14ac:dyDescent="0.25">
      <c r="A30" s="1">
        <v>36548</v>
      </c>
      <c r="B30">
        <v>513.70000000000005</v>
      </c>
      <c r="C30">
        <v>37.15</v>
      </c>
      <c r="D30">
        <v>7835</v>
      </c>
      <c r="E30" s="2" t="s">
        <v>8</v>
      </c>
      <c r="F30" s="2">
        <f t="shared" si="1"/>
        <v>210.90174966352626</v>
      </c>
      <c r="G30" s="2">
        <f t="shared" si="2"/>
        <v>7.2318473817403142</v>
      </c>
      <c r="H30" s="2" t="str">
        <f t="shared" si="0"/>
        <v>1 pihenő</v>
      </c>
    </row>
    <row r="31" spans="1:8" x14ac:dyDescent="0.25">
      <c r="A31" s="1">
        <v>36557</v>
      </c>
      <c r="B31">
        <v>536</v>
      </c>
      <c r="C31">
        <v>37.92</v>
      </c>
      <c r="D31">
        <v>7997</v>
      </c>
      <c r="E31" s="2" t="s">
        <v>11</v>
      </c>
      <c r="F31" s="2">
        <f t="shared" si="1"/>
        <v>210.89135021097044</v>
      </c>
      <c r="G31" s="2">
        <f t="shared" si="2"/>
        <v>7.0746268656716422</v>
      </c>
      <c r="H31" s="2" t="str">
        <f t="shared" si="0"/>
        <v>1 pihenő</v>
      </c>
    </row>
    <row r="32" spans="1:8" x14ac:dyDescent="0.25">
      <c r="A32" s="1">
        <v>36566</v>
      </c>
      <c r="B32">
        <v>583</v>
      </c>
      <c r="C32">
        <v>43.19</v>
      </c>
      <c r="D32">
        <v>9109</v>
      </c>
      <c r="E32" s="2" t="s">
        <v>10</v>
      </c>
      <c r="F32" s="2">
        <f t="shared" si="1"/>
        <v>210.90530215327624</v>
      </c>
      <c r="G32" s="2">
        <f t="shared" si="2"/>
        <v>7.4082332761578034</v>
      </c>
      <c r="H32" s="2" t="str">
        <f t="shared" si="0"/>
        <v>1 pihenő</v>
      </c>
    </row>
    <row r="33" spans="1:8" x14ac:dyDescent="0.25">
      <c r="A33" s="1">
        <v>36575</v>
      </c>
      <c r="B33">
        <v>572.4</v>
      </c>
      <c r="C33">
        <v>40.409999999999997</v>
      </c>
      <c r="D33">
        <v>8765</v>
      </c>
      <c r="E33" s="2" t="s">
        <v>10</v>
      </c>
      <c r="F33" s="2">
        <f t="shared" si="1"/>
        <v>216.90175699084386</v>
      </c>
      <c r="G33" s="2">
        <f t="shared" si="2"/>
        <v>7.0597484276729556</v>
      </c>
      <c r="H33" s="2" t="str">
        <f t="shared" si="0"/>
        <v>1 pihenő</v>
      </c>
    </row>
    <row r="34" spans="1:8" x14ac:dyDescent="0.25">
      <c r="A34" s="1">
        <v>36587</v>
      </c>
      <c r="B34">
        <v>549.4</v>
      </c>
      <c r="C34">
        <v>39.03</v>
      </c>
      <c r="D34">
        <v>8700</v>
      </c>
      <c r="E34" s="2" t="s">
        <v>12</v>
      </c>
      <c r="F34" s="2">
        <f t="shared" si="1"/>
        <v>222.9054573405073</v>
      </c>
      <c r="G34" s="2">
        <f t="shared" si="2"/>
        <v>7.1041135784492182</v>
      </c>
      <c r="H34" s="2" t="str">
        <f t="shared" si="0"/>
        <v>1 pihenő</v>
      </c>
    </row>
    <row r="35" spans="1:8" x14ac:dyDescent="0.25">
      <c r="A35" s="1">
        <v>36594</v>
      </c>
      <c r="B35">
        <v>589</v>
      </c>
      <c r="C35">
        <v>40.909999999999997</v>
      </c>
      <c r="D35">
        <v>9201</v>
      </c>
      <c r="E35" s="2" t="s">
        <v>11</v>
      </c>
      <c r="F35" s="2">
        <f t="shared" si="1"/>
        <v>224.90833537032512</v>
      </c>
      <c r="G35" s="2">
        <f t="shared" si="2"/>
        <v>6.9456706281833602</v>
      </c>
      <c r="H35" s="2" t="str">
        <f t="shared" si="0"/>
        <v>1 pihenő</v>
      </c>
    </row>
    <row r="36" spans="1:8" x14ac:dyDescent="0.25">
      <c r="A36" s="1">
        <v>36600</v>
      </c>
      <c r="B36">
        <v>405</v>
      </c>
      <c r="C36">
        <v>28.62</v>
      </c>
      <c r="D36">
        <v>6551</v>
      </c>
      <c r="E36" s="2" t="s">
        <v>11</v>
      </c>
      <c r="F36" s="2">
        <f t="shared" si="1"/>
        <v>228.89587700908456</v>
      </c>
      <c r="G36" s="2">
        <f t="shared" si="2"/>
        <v>7.0666666666666673</v>
      </c>
      <c r="H36" s="2" t="str">
        <f t="shared" si="0"/>
        <v>1 pihenő</v>
      </c>
    </row>
    <row r="37" spans="1:8" x14ac:dyDescent="0.25">
      <c r="A37" s="1">
        <v>36608</v>
      </c>
      <c r="B37">
        <v>535</v>
      </c>
      <c r="C37">
        <v>38.46</v>
      </c>
      <c r="D37">
        <v>8803</v>
      </c>
      <c r="E37" s="2" t="s">
        <v>10</v>
      </c>
      <c r="F37" s="2">
        <f t="shared" si="1"/>
        <v>228.88715548621946</v>
      </c>
      <c r="G37" s="2">
        <f t="shared" si="2"/>
        <v>7.188785046728972</v>
      </c>
      <c r="H37" s="2" t="str">
        <f t="shared" si="0"/>
        <v>1 pihenő</v>
      </c>
    </row>
    <row r="38" spans="1:8" x14ac:dyDescent="0.25">
      <c r="A38" s="1">
        <v>36619</v>
      </c>
      <c r="B38">
        <v>558</v>
      </c>
      <c r="C38">
        <v>38.96</v>
      </c>
      <c r="D38">
        <v>8879</v>
      </c>
      <c r="E38" s="2" t="s">
        <v>11</v>
      </c>
      <c r="F38" s="2">
        <f t="shared" si="1"/>
        <v>227.90041067761805</v>
      </c>
      <c r="G38" s="2">
        <f t="shared" si="2"/>
        <v>6.9820788530465956</v>
      </c>
      <c r="H38" s="2" t="str">
        <f t="shared" si="0"/>
        <v>1 pihenő</v>
      </c>
    </row>
    <row r="39" spans="1:8" x14ac:dyDescent="0.25">
      <c r="A39" s="1">
        <v>36629</v>
      </c>
      <c r="B39">
        <v>603</v>
      </c>
      <c r="C39">
        <v>45.15</v>
      </c>
      <c r="D39">
        <v>10290</v>
      </c>
      <c r="E39" s="2" t="s">
        <v>11</v>
      </c>
      <c r="F39" s="2">
        <f t="shared" si="1"/>
        <v>227.90697674418607</v>
      </c>
      <c r="G39" s="2">
        <f t="shared" si="2"/>
        <v>7.4875621890547261</v>
      </c>
      <c r="H39" s="2" t="str">
        <f t="shared" si="0"/>
        <v>2 pihenő</v>
      </c>
    </row>
    <row r="40" spans="1:8" x14ac:dyDescent="0.25">
      <c r="A40" s="1">
        <v>36635</v>
      </c>
      <c r="B40">
        <v>495</v>
      </c>
      <c r="C40">
        <v>36.96</v>
      </c>
      <c r="D40">
        <v>8349</v>
      </c>
      <c r="E40" s="2" t="s">
        <v>10</v>
      </c>
      <c r="F40" s="2">
        <f t="shared" si="1"/>
        <v>225.89285714285714</v>
      </c>
      <c r="G40" s="2">
        <f t="shared" si="2"/>
        <v>7.4666666666666677</v>
      </c>
      <c r="H40" s="2" t="str">
        <f t="shared" si="0"/>
        <v>1 pihenő</v>
      </c>
    </row>
    <row r="41" spans="1:8" x14ac:dyDescent="0.25">
      <c r="A41" s="1">
        <v>36646</v>
      </c>
      <c r="B41">
        <v>613</v>
      </c>
      <c r="C41">
        <v>40.700000000000003</v>
      </c>
      <c r="D41">
        <v>9153</v>
      </c>
      <c r="E41" s="2" t="s">
        <v>11</v>
      </c>
      <c r="F41" s="2">
        <f t="shared" si="1"/>
        <v>224.88943488943488</v>
      </c>
      <c r="G41" s="2">
        <f t="shared" si="2"/>
        <v>6.6394779771615013</v>
      </c>
      <c r="H41" s="2" t="str">
        <f t="shared" si="0"/>
        <v>2 pihenő</v>
      </c>
    </row>
    <row r="42" spans="1:8" x14ac:dyDescent="0.25">
      <c r="A42" s="1">
        <v>36651</v>
      </c>
      <c r="B42">
        <v>452</v>
      </c>
      <c r="C42">
        <v>29.63</v>
      </c>
      <c r="D42">
        <v>6812</v>
      </c>
      <c r="E42" s="2" t="s">
        <v>12</v>
      </c>
      <c r="F42" s="2">
        <f t="shared" si="1"/>
        <v>229.90212622342221</v>
      </c>
      <c r="G42" s="2">
        <f t="shared" si="2"/>
        <v>6.5553097345132745</v>
      </c>
      <c r="H42" s="2" t="str">
        <f t="shared" si="0"/>
        <v>1 pihenő</v>
      </c>
    </row>
    <row r="43" spans="1:8" x14ac:dyDescent="0.25">
      <c r="A43" s="1">
        <v>36652</v>
      </c>
      <c r="B43">
        <v>397.1</v>
      </c>
      <c r="C43">
        <v>29.59</v>
      </c>
      <c r="D43">
        <v>6803</v>
      </c>
      <c r="E43" s="2" t="s">
        <v>8</v>
      </c>
      <c r="F43" s="2">
        <f t="shared" si="1"/>
        <v>229.90875295708008</v>
      </c>
      <c r="G43" s="2">
        <f t="shared" si="2"/>
        <v>7.4515235457063707</v>
      </c>
      <c r="H43" s="2" t="str">
        <f t="shared" si="0"/>
        <v>1 pihenő</v>
      </c>
    </row>
    <row r="44" spans="1:8" x14ac:dyDescent="0.25">
      <c r="A44" s="1">
        <v>36655</v>
      </c>
      <c r="B44">
        <v>554</v>
      </c>
      <c r="C44">
        <v>34.89</v>
      </c>
      <c r="D44">
        <v>8021</v>
      </c>
      <c r="E44" s="2" t="s">
        <v>10</v>
      </c>
      <c r="F44" s="2">
        <f t="shared" si="1"/>
        <v>229.89395242189738</v>
      </c>
      <c r="G44" s="2">
        <f t="shared" si="2"/>
        <v>6.2978339350180503</v>
      </c>
      <c r="H44" s="2" t="str">
        <f t="shared" si="0"/>
        <v>1 pihenő</v>
      </c>
    </row>
    <row r="45" spans="1:8" x14ac:dyDescent="0.25">
      <c r="A45" s="1">
        <v>36662</v>
      </c>
      <c r="B45">
        <v>583</v>
      </c>
      <c r="C45">
        <v>38.409999999999997</v>
      </c>
      <c r="D45">
        <v>8984</v>
      </c>
      <c r="E45" s="2" t="s">
        <v>10</v>
      </c>
      <c r="F45" s="2">
        <f t="shared" si="1"/>
        <v>233.89742254621194</v>
      </c>
      <c r="G45" s="2">
        <f t="shared" si="2"/>
        <v>6.5883361921097769</v>
      </c>
      <c r="H45" s="2" t="str">
        <f t="shared" si="0"/>
        <v>1 pihenő</v>
      </c>
    </row>
    <row r="46" spans="1:8" x14ac:dyDescent="0.25">
      <c r="A46" s="1">
        <v>36672</v>
      </c>
      <c r="B46">
        <v>592</v>
      </c>
      <c r="C46">
        <v>41.64</v>
      </c>
      <c r="D46">
        <v>9865</v>
      </c>
      <c r="E46" s="2" t="s">
        <v>10</v>
      </c>
      <c r="F46" s="2">
        <f t="shared" si="1"/>
        <v>236.91162343900095</v>
      </c>
      <c r="G46" s="2">
        <f t="shared" si="2"/>
        <v>7.0337837837837842</v>
      </c>
      <c r="H46" s="2" t="str">
        <f t="shared" si="0"/>
        <v>1 pihenő</v>
      </c>
    </row>
    <row r="47" spans="1:8" x14ac:dyDescent="0.25">
      <c r="A47" s="1">
        <v>36695</v>
      </c>
      <c r="B47">
        <v>557</v>
      </c>
      <c r="C47">
        <v>40.35</v>
      </c>
      <c r="D47">
        <v>9680</v>
      </c>
      <c r="E47" s="2" t="s">
        <v>12</v>
      </c>
      <c r="F47" s="2">
        <f t="shared" si="1"/>
        <v>239.90086741016108</v>
      </c>
      <c r="G47" s="2">
        <f t="shared" si="2"/>
        <v>7.2441651705565535</v>
      </c>
      <c r="H47" s="2" t="str">
        <f t="shared" si="0"/>
        <v>1 pihenő</v>
      </c>
    </row>
    <row r="48" spans="1:8" x14ac:dyDescent="0.25">
      <c r="A48" s="1">
        <v>36701</v>
      </c>
      <c r="B48">
        <v>419</v>
      </c>
      <c r="C48">
        <v>28.37</v>
      </c>
      <c r="D48">
        <v>6834</v>
      </c>
      <c r="E48" s="2" t="s">
        <v>8</v>
      </c>
      <c r="F48" s="2">
        <f t="shared" si="1"/>
        <v>240.8882622488544</v>
      </c>
      <c r="G48" s="2">
        <f t="shared" si="2"/>
        <v>6.7708830548926011</v>
      </c>
      <c r="H48" s="2" t="str">
        <f t="shared" si="0"/>
        <v>1 pihenő</v>
      </c>
    </row>
    <row r="49" spans="1:8" x14ac:dyDescent="0.25">
      <c r="A49" s="1">
        <v>36708</v>
      </c>
      <c r="B49">
        <v>521</v>
      </c>
      <c r="C49">
        <v>33.950000000000003</v>
      </c>
      <c r="D49">
        <v>8250</v>
      </c>
      <c r="E49" s="2" t="s">
        <v>14</v>
      </c>
      <c r="F49" s="2">
        <f t="shared" si="1"/>
        <v>243.00441826215021</v>
      </c>
      <c r="G49" s="2">
        <f t="shared" si="2"/>
        <v>6.5163147792706333</v>
      </c>
      <c r="H49" s="2" t="str">
        <f t="shared" si="0"/>
        <v>1 pihenő</v>
      </c>
    </row>
    <row r="50" spans="1:8" x14ac:dyDescent="0.25">
      <c r="A50" s="1">
        <v>36710</v>
      </c>
      <c r="B50">
        <v>655</v>
      </c>
      <c r="C50">
        <v>38.950000000000003</v>
      </c>
      <c r="D50">
        <v>9305</v>
      </c>
      <c r="E50" s="2" t="s">
        <v>11</v>
      </c>
      <c r="F50" s="2">
        <f t="shared" si="1"/>
        <v>238.89602053915274</v>
      </c>
      <c r="G50" s="2">
        <f t="shared" si="2"/>
        <v>5.9465648854961835</v>
      </c>
      <c r="H50" s="2" t="str">
        <f t="shared" si="0"/>
        <v>2 pihenő</v>
      </c>
    </row>
    <row r="51" spans="1:8" x14ac:dyDescent="0.25">
      <c r="A51" s="1">
        <v>36723</v>
      </c>
      <c r="B51">
        <v>557</v>
      </c>
      <c r="C51">
        <v>35.340000000000003</v>
      </c>
      <c r="D51">
        <v>8499</v>
      </c>
      <c r="E51" s="2" t="s">
        <v>8</v>
      </c>
      <c r="F51" s="2">
        <f t="shared" si="1"/>
        <v>240.49235993208825</v>
      </c>
      <c r="G51" s="2">
        <f t="shared" si="2"/>
        <v>6.3447037701974862</v>
      </c>
      <c r="H51" s="2" t="str">
        <f t="shared" si="0"/>
        <v>1 pihenő</v>
      </c>
    </row>
    <row r="52" spans="1:8" x14ac:dyDescent="0.25">
      <c r="A52" s="1">
        <v>36730</v>
      </c>
      <c r="B52">
        <v>566</v>
      </c>
      <c r="C52">
        <v>37.46</v>
      </c>
      <c r="D52">
        <v>9009</v>
      </c>
      <c r="E52" s="2" t="s">
        <v>8</v>
      </c>
      <c r="F52" s="2">
        <f t="shared" si="1"/>
        <v>240.49652963160705</v>
      </c>
      <c r="G52" s="2">
        <f t="shared" si="2"/>
        <v>6.6183745583038869</v>
      </c>
      <c r="H52" s="2" t="str">
        <f t="shared" si="0"/>
        <v>1 pihenő</v>
      </c>
    </row>
    <row r="53" spans="1:8" x14ac:dyDescent="0.25">
      <c r="A53" s="1">
        <v>36739</v>
      </c>
      <c r="B53">
        <v>463</v>
      </c>
      <c r="C53">
        <v>30.11</v>
      </c>
      <c r="D53">
        <v>7163</v>
      </c>
      <c r="E53" s="2" t="s">
        <v>10</v>
      </c>
      <c r="F53" s="2">
        <f t="shared" si="1"/>
        <v>237.89438724676188</v>
      </c>
      <c r="G53" s="2">
        <f t="shared" si="2"/>
        <v>6.5032397408207352</v>
      </c>
      <c r="H53" s="2" t="str">
        <f t="shared" si="0"/>
        <v>1 pihenő</v>
      </c>
    </row>
    <row r="54" spans="1:8" x14ac:dyDescent="0.25">
      <c r="A54" s="1">
        <v>36753</v>
      </c>
      <c r="B54">
        <v>610</v>
      </c>
      <c r="C54">
        <v>41.44</v>
      </c>
      <c r="D54">
        <v>9817</v>
      </c>
      <c r="E54" s="2" t="s">
        <v>11</v>
      </c>
      <c r="F54" s="2">
        <f t="shared" si="1"/>
        <v>236.89671814671817</v>
      </c>
      <c r="G54" s="2">
        <f t="shared" si="2"/>
        <v>6.7934426229508196</v>
      </c>
      <c r="H54" s="2" t="str">
        <f t="shared" si="0"/>
        <v>2 pihenő</v>
      </c>
    </row>
    <row r="55" spans="1:8" x14ac:dyDescent="0.25">
      <c r="A55" s="1">
        <v>36758</v>
      </c>
      <c r="B55">
        <v>570</v>
      </c>
      <c r="C55">
        <v>38.82</v>
      </c>
      <c r="D55">
        <v>9274</v>
      </c>
      <c r="E55" s="2" t="s">
        <v>8</v>
      </c>
      <c r="F55" s="2">
        <f t="shared" si="1"/>
        <v>238.8974755280783</v>
      </c>
      <c r="G55" s="2">
        <f t="shared" si="2"/>
        <v>6.810526315789474</v>
      </c>
      <c r="H55" s="2" t="str">
        <f t="shared" si="0"/>
        <v>1 pihenő</v>
      </c>
    </row>
    <row r="56" spans="1:8" x14ac:dyDescent="0.25">
      <c r="A56" s="1">
        <v>36763</v>
      </c>
      <c r="B56">
        <v>552</v>
      </c>
      <c r="C56">
        <v>35.200000000000003</v>
      </c>
      <c r="D56">
        <v>8374</v>
      </c>
      <c r="E56" s="2" t="s">
        <v>10</v>
      </c>
      <c r="F56" s="2">
        <f t="shared" si="1"/>
        <v>237.89772727272725</v>
      </c>
      <c r="G56" s="2">
        <f t="shared" si="2"/>
        <v>6.3768115942028993</v>
      </c>
      <c r="H56" s="2" t="str">
        <f t="shared" si="0"/>
        <v>1 pihenő</v>
      </c>
    </row>
    <row r="57" spans="1:8" x14ac:dyDescent="0.25">
      <c r="A57" s="1">
        <v>36770</v>
      </c>
      <c r="B57">
        <v>553</v>
      </c>
      <c r="C57">
        <v>44.05</v>
      </c>
      <c r="D57">
        <v>10480</v>
      </c>
      <c r="E57" s="2" t="s">
        <v>10</v>
      </c>
      <c r="F57" s="2">
        <f t="shared" si="1"/>
        <v>237.91146424517595</v>
      </c>
      <c r="G57" s="2">
        <f t="shared" si="2"/>
        <v>7.9656419529837246</v>
      </c>
      <c r="H57" s="2" t="str">
        <f t="shared" si="0"/>
        <v>1 pihenő</v>
      </c>
    </row>
    <row r="58" spans="1:8" x14ac:dyDescent="0.25">
      <c r="A58" s="1">
        <v>36775</v>
      </c>
      <c r="B58">
        <v>404</v>
      </c>
      <c r="C58">
        <v>29</v>
      </c>
      <c r="D58">
        <v>6943</v>
      </c>
      <c r="E58" s="2" t="s">
        <v>8</v>
      </c>
      <c r="F58" s="2">
        <f t="shared" si="1"/>
        <v>239.41379310344828</v>
      </c>
      <c r="G58" s="2">
        <f t="shared" si="2"/>
        <v>7.1782178217821775</v>
      </c>
      <c r="H58" s="2" t="str">
        <f t="shared" si="0"/>
        <v>1 pihenő</v>
      </c>
    </row>
    <row r="59" spans="1:8" x14ac:dyDescent="0.25">
      <c r="A59" s="1">
        <v>36775</v>
      </c>
      <c r="B59">
        <v>567</v>
      </c>
      <c r="C59">
        <v>40.71</v>
      </c>
      <c r="D59">
        <v>12041</v>
      </c>
      <c r="E59" s="2" t="s">
        <v>15</v>
      </c>
      <c r="F59" s="2">
        <f t="shared" si="1"/>
        <v>295.77499385900268</v>
      </c>
      <c r="G59" s="2">
        <f t="shared" si="2"/>
        <v>7.1798941798941804</v>
      </c>
      <c r="H59" s="2" t="str">
        <f t="shared" si="0"/>
        <v>1 pihenő</v>
      </c>
    </row>
    <row r="60" spans="1:8" x14ac:dyDescent="0.25">
      <c r="A60" s="1">
        <v>36777</v>
      </c>
      <c r="B60">
        <v>533</v>
      </c>
      <c r="C60">
        <v>36.39</v>
      </c>
      <c r="D60">
        <v>10664</v>
      </c>
      <c r="E60" s="2" t="s">
        <v>8</v>
      </c>
      <c r="F60" s="2">
        <f t="shared" si="1"/>
        <v>293.04754053311348</v>
      </c>
      <c r="G60" s="2">
        <f t="shared" si="2"/>
        <v>6.8273921200750474</v>
      </c>
      <c r="H60" s="2" t="str">
        <f t="shared" si="0"/>
        <v>1 pihenő</v>
      </c>
    </row>
    <row r="61" spans="1:8" x14ac:dyDescent="0.25">
      <c r="A61" s="1">
        <v>36778</v>
      </c>
      <c r="B61">
        <v>588</v>
      </c>
      <c r="C61">
        <v>44.08</v>
      </c>
      <c r="D61">
        <v>11674</v>
      </c>
      <c r="E61" s="2" t="s">
        <v>16</v>
      </c>
      <c r="F61" s="2">
        <f t="shared" si="1"/>
        <v>264.83666061705992</v>
      </c>
      <c r="G61" s="2">
        <f t="shared" si="2"/>
        <v>7.4965986394557813</v>
      </c>
      <c r="H61" s="2" t="str">
        <f t="shared" si="0"/>
        <v>1 pihenő</v>
      </c>
    </row>
    <row r="62" spans="1:8" x14ac:dyDescent="0.25">
      <c r="A62" s="1">
        <v>36781</v>
      </c>
      <c r="B62">
        <v>573</v>
      </c>
      <c r="C62">
        <v>38.93</v>
      </c>
      <c r="D62">
        <v>9261</v>
      </c>
      <c r="E62" s="2" t="s">
        <v>10</v>
      </c>
      <c r="F62" s="2">
        <f t="shared" si="1"/>
        <v>237.88851785255588</v>
      </c>
      <c r="G62" s="2">
        <f t="shared" si="2"/>
        <v>6.7940663176265268</v>
      </c>
      <c r="H62" s="2" t="str">
        <f t="shared" si="0"/>
        <v>1 pihenő</v>
      </c>
    </row>
    <row r="63" spans="1:8" x14ac:dyDescent="0.25">
      <c r="A63" s="1">
        <v>36792</v>
      </c>
      <c r="B63">
        <v>487</v>
      </c>
      <c r="C63">
        <v>32.49</v>
      </c>
      <c r="D63">
        <v>7924</v>
      </c>
      <c r="E63" s="2" t="s">
        <v>10</v>
      </c>
      <c r="F63" s="2">
        <f t="shared" si="1"/>
        <v>243.89042782394583</v>
      </c>
      <c r="G63" s="2">
        <f t="shared" si="2"/>
        <v>6.6714579055441483</v>
      </c>
      <c r="H63" s="2" t="str">
        <f t="shared" si="0"/>
        <v>1 pihenő</v>
      </c>
    </row>
    <row r="64" spans="1:8" x14ac:dyDescent="0.25">
      <c r="A64" s="1">
        <v>36795</v>
      </c>
      <c r="B64">
        <v>490</v>
      </c>
      <c r="C64">
        <v>39.26</v>
      </c>
      <c r="D64">
        <v>9576</v>
      </c>
      <c r="E64" s="2" t="s">
        <v>10</v>
      </c>
      <c r="F64" s="2">
        <f t="shared" si="1"/>
        <v>243.91237901171678</v>
      </c>
      <c r="G64" s="2">
        <f t="shared" si="2"/>
        <v>8.0122448979591834</v>
      </c>
      <c r="H64" s="2" t="str">
        <f t="shared" si="0"/>
        <v>1 pihenő</v>
      </c>
    </row>
    <row r="65" spans="1:8" x14ac:dyDescent="0.25">
      <c r="A65" s="1">
        <v>36803</v>
      </c>
      <c r="B65">
        <v>526</v>
      </c>
      <c r="C65">
        <v>36.479999999999997</v>
      </c>
      <c r="D65">
        <v>8861</v>
      </c>
      <c r="E65" s="2" t="s">
        <v>11</v>
      </c>
      <c r="F65" s="2">
        <f t="shared" si="1"/>
        <v>242.90021929824564</v>
      </c>
      <c r="G65" s="2">
        <f t="shared" si="2"/>
        <v>6.9353612167300378</v>
      </c>
      <c r="H65" s="2" t="str">
        <f t="shared" si="0"/>
        <v>1 pihenő</v>
      </c>
    </row>
    <row r="66" spans="1:8" x14ac:dyDescent="0.25">
      <c r="A66" s="1">
        <v>36814</v>
      </c>
      <c r="B66">
        <v>491</v>
      </c>
      <c r="C66">
        <v>34.840000000000003</v>
      </c>
      <c r="D66">
        <v>8497</v>
      </c>
      <c r="E66" s="2" t="s">
        <v>11</v>
      </c>
      <c r="F66" s="2">
        <f t="shared" si="1"/>
        <v>243.88633754305394</v>
      </c>
      <c r="G66" s="2">
        <f t="shared" si="2"/>
        <v>7.0957230142566203</v>
      </c>
      <c r="H66" s="2" t="str">
        <f t="shared" ref="H66:H129" si="3">IF(B66&lt;600,IF(B66&lt;300,"","1 pihenő"),"2 pihenő")</f>
        <v>1 pihenő</v>
      </c>
    </row>
    <row r="67" spans="1:8" x14ac:dyDescent="0.25">
      <c r="A67" s="1">
        <v>36824</v>
      </c>
      <c r="B67">
        <v>540</v>
      </c>
      <c r="C67">
        <v>37.83</v>
      </c>
      <c r="D67">
        <v>9227</v>
      </c>
      <c r="E67" s="2" t="s">
        <v>11</v>
      </c>
      <c r="F67" s="2">
        <f t="shared" ref="F67:F130" si="4">D67/C67</f>
        <v>243.90695215437484</v>
      </c>
      <c r="G67" s="2">
        <f t="shared" ref="G67:G130" si="5">C67/B67*100</f>
        <v>7.0055555555555555</v>
      </c>
      <c r="H67" s="2" t="str">
        <f t="shared" si="3"/>
        <v>1 pihenő</v>
      </c>
    </row>
    <row r="68" spans="1:8" x14ac:dyDescent="0.25">
      <c r="A68" s="1">
        <v>36830</v>
      </c>
      <c r="B68">
        <v>573</v>
      </c>
      <c r="C68">
        <v>39.200000000000003</v>
      </c>
      <c r="D68">
        <v>9561</v>
      </c>
      <c r="E68" s="2" t="s">
        <v>10</v>
      </c>
      <c r="F68" s="2">
        <f t="shared" si="4"/>
        <v>243.90306122448979</v>
      </c>
      <c r="G68" s="2">
        <f t="shared" si="5"/>
        <v>6.8411867364746959</v>
      </c>
      <c r="H68" s="2" t="str">
        <f t="shared" si="3"/>
        <v>1 pihenő</v>
      </c>
    </row>
    <row r="69" spans="1:8" x14ac:dyDescent="0.25">
      <c r="A69" s="1">
        <v>36842</v>
      </c>
      <c r="B69">
        <v>544</v>
      </c>
      <c r="C69">
        <v>36.81</v>
      </c>
      <c r="D69">
        <v>9052</v>
      </c>
      <c r="E69" s="2" t="s">
        <v>8</v>
      </c>
      <c r="F69" s="2">
        <f t="shared" si="4"/>
        <v>245.91143710948111</v>
      </c>
      <c r="G69" s="2">
        <f t="shared" si="5"/>
        <v>6.7665441176470598</v>
      </c>
      <c r="H69" s="2" t="str">
        <f t="shared" si="3"/>
        <v>1 pihenő</v>
      </c>
    </row>
    <row r="70" spans="1:8" x14ac:dyDescent="0.25">
      <c r="A70" s="1">
        <v>36851</v>
      </c>
      <c r="B70">
        <v>561</v>
      </c>
      <c r="C70">
        <v>42.8</v>
      </c>
      <c r="D70">
        <v>10182</v>
      </c>
      <c r="E70" s="2" t="s">
        <v>10</v>
      </c>
      <c r="F70" s="2">
        <f t="shared" si="4"/>
        <v>237.89719626168227</v>
      </c>
      <c r="G70" s="2">
        <f t="shared" si="5"/>
        <v>7.6292335115864525</v>
      </c>
      <c r="H70" s="2" t="str">
        <f t="shared" si="3"/>
        <v>1 pihenő</v>
      </c>
    </row>
    <row r="71" spans="1:8" x14ac:dyDescent="0.25">
      <c r="A71" s="1">
        <v>36861</v>
      </c>
      <c r="B71">
        <v>550</v>
      </c>
      <c r="C71">
        <v>40.15</v>
      </c>
      <c r="D71">
        <v>9552</v>
      </c>
      <c r="E71" s="2" t="s">
        <v>10</v>
      </c>
      <c r="F71" s="2">
        <f t="shared" si="4"/>
        <v>237.90784557907847</v>
      </c>
      <c r="G71" s="2">
        <f t="shared" si="5"/>
        <v>7.3</v>
      </c>
      <c r="H71" s="2" t="str">
        <f t="shared" si="3"/>
        <v>1 pihenő</v>
      </c>
    </row>
    <row r="72" spans="1:8" x14ac:dyDescent="0.25">
      <c r="A72" s="1">
        <v>36868</v>
      </c>
      <c r="B72">
        <v>543</v>
      </c>
      <c r="C72">
        <v>41.13</v>
      </c>
      <c r="D72">
        <v>9785</v>
      </c>
      <c r="E72" s="2" t="s">
        <v>10</v>
      </c>
      <c r="F72" s="2">
        <f t="shared" si="4"/>
        <v>237.90420617554096</v>
      </c>
      <c r="G72" s="2">
        <f t="shared" si="5"/>
        <v>7.5745856353591172</v>
      </c>
      <c r="H72" s="2" t="str">
        <f t="shared" si="3"/>
        <v>1 pihenő</v>
      </c>
    </row>
    <row r="73" spans="1:8" x14ac:dyDescent="0.25">
      <c r="A73" s="1">
        <v>36877</v>
      </c>
      <c r="B73">
        <v>540</v>
      </c>
      <c r="C73">
        <v>39.17</v>
      </c>
      <c r="D73">
        <v>8770</v>
      </c>
      <c r="E73" s="2" t="s">
        <v>10</v>
      </c>
      <c r="F73" s="2">
        <f t="shared" si="4"/>
        <v>223.8958386520296</v>
      </c>
      <c r="G73" s="2">
        <f t="shared" si="5"/>
        <v>7.253703703703704</v>
      </c>
      <c r="H73" s="2" t="str">
        <f t="shared" si="3"/>
        <v>1 pihenő</v>
      </c>
    </row>
    <row r="74" spans="1:8" x14ac:dyDescent="0.25">
      <c r="A74" s="1">
        <v>36883</v>
      </c>
      <c r="B74">
        <v>400</v>
      </c>
      <c r="C74">
        <v>29.34</v>
      </c>
      <c r="D74">
        <v>6540</v>
      </c>
      <c r="E74" s="2" t="s">
        <v>8</v>
      </c>
      <c r="F74" s="2">
        <f t="shared" si="4"/>
        <v>222.9038854805726</v>
      </c>
      <c r="G74" s="2">
        <f t="shared" si="5"/>
        <v>7.335</v>
      </c>
      <c r="H74" s="2" t="str">
        <f t="shared" si="3"/>
        <v>1 pihenő</v>
      </c>
    </row>
    <row r="75" spans="1:8" x14ac:dyDescent="0.25">
      <c r="A75" s="1">
        <v>36890</v>
      </c>
      <c r="B75">
        <v>638</v>
      </c>
      <c r="C75">
        <v>40.33</v>
      </c>
      <c r="D75">
        <v>8772</v>
      </c>
      <c r="E75" s="2" t="s">
        <v>8</v>
      </c>
      <c r="F75" s="2">
        <f t="shared" si="4"/>
        <v>217.50557897346889</v>
      </c>
      <c r="G75" s="2">
        <f t="shared" si="5"/>
        <v>6.3213166144200628</v>
      </c>
      <c r="H75" s="2" t="str">
        <f t="shared" si="3"/>
        <v>2 pihenő</v>
      </c>
    </row>
    <row r="76" spans="1:8" x14ac:dyDescent="0.25">
      <c r="A76" s="1">
        <v>36899</v>
      </c>
      <c r="B76">
        <v>492</v>
      </c>
      <c r="C76">
        <v>36.130000000000003</v>
      </c>
      <c r="D76">
        <v>7837</v>
      </c>
      <c r="E76" s="2" t="s">
        <v>10</v>
      </c>
      <c r="F76" s="2">
        <f t="shared" si="4"/>
        <v>216.91115416551341</v>
      </c>
      <c r="G76" s="2">
        <f t="shared" si="5"/>
        <v>7.3434959349593498</v>
      </c>
      <c r="H76" s="2" t="str">
        <f t="shared" si="3"/>
        <v>1 pihenő</v>
      </c>
    </row>
    <row r="77" spans="1:8" x14ac:dyDescent="0.25">
      <c r="A77" s="1">
        <v>36908</v>
      </c>
      <c r="B77">
        <v>564</v>
      </c>
      <c r="C77">
        <v>40.76</v>
      </c>
      <c r="D77">
        <v>8800</v>
      </c>
      <c r="E77" s="2" t="s">
        <v>10</v>
      </c>
      <c r="F77" s="2">
        <f t="shared" si="4"/>
        <v>215.89793915603533</v>
      </c>
      <c r="G77" s="2">
        <f t="shared" si="5"/>
        <v>7.2269503546099294</v>
      </c>
      <c r="H77" s="2" t="str">
        <f t="shared" si="3"/>
        <v>1 pihenő</v>
      </c>
    </row>
    <row r="78" spans="1:8" x14ac:dyDescent="0.25">
      <c r="A78" s="1">
        <v>36916</v>
      </c>
      <c r="B78">
        <v>534</v>
      </c>
      <c r="C78">
        <v>38.729999999999997</v>
      </c>
      <c r="D78">
        <v>8555</v>
      </c>
      <c r="E78" s="2" t="s">
        <v>10</v>
      </c>
      <c r="F78" s="2">
        <f t="shared" si="4"/>
        <v>220.88820036147692</v>
      </c>
      <c r="G78" s="2">
        <f t="shared" si="5"/>
        <v>7.2528089887640439</v>
      </c>
      <c r="H78" s="2" t="str">
        <f t="shared" si="3"/>
        <v>1 pihenő</v>
      </c>
    </row>
    <row r="79" spans="1:8" x14ac:dyDescent="0.25">
      <c r="A79" s="1">
        <v>36921</v>
      </c>
      <c r="B79">
        <v>546</v>
      </c>
      <c r="C79">
        <v>43.14</v>
      </c>
      <c r="D79">
        <v>9530</v>
      </c>
      <c r="E79" s="2" t="s">
        <v>10</v>
      </c>
      <c r="F79" s="2">
        <f t="shared" si="4"/>
        <v>220.90866944830782</v>
      </c>
      <c r="G79" s="2">
        <f t="shared" si="5"/>
        <v>7.9010989010989015</v>
      </c>
      <c r="H79" s="2" t="str">
        <f t="shared" si="3"/>
        <v>1 pihenő</v>
      </c>
    </row>
    <row r="80" spans="1:8" x14ac:dyDescent="0.25">
      <c r="A80" s="1">
        <v>36930</v>
      </c>
      <c r="B80">
        <v>532</v>
      </c>
      <c r="C80">
        <v>39.75</v>
      </c>
      <c r="D80">
        <v>8980</v>
      </c>
      <c r="E80" s="2" t="s">
        <v>11</v>
      </c>
      <c r="F80" s="2">
        <f t="shared" si="4"/>
        <v>225.91194968553458</v>
      </c>
      <c r="G80" s="2">
        <f t="shared" si="5"/>
        <v>7.4718045112781963</v>
      </c>
      <c r="H80" s="2" t="str">
        <f t="shared" si="3"/>
        <v>1 pihenő</v>
      </c>
    </row>
    <row r="81" spans="1:8" x14ac:dyDescent="0.25">
      <c r="A81" s="1">
        <v>36937</v>
      </c>
      <c r="B81">
        <v>592</v>
      </c>
      <c r="C81">
        <v>39.979999999999997</v>
      </c>
      <c r="D81">
        <v>9415</v>
      </c>
      <c r="E81" s="2" t="s">
        <v>17</v>
      </c>
      <c r="F81" s="2">
        <f t="shared" si="4"/>
        <v>235.49274637318661</v>
      </c>
      <c r="G81" s="2">
        <f t="shared" si="5"/>
        <v>6.7533783783783772</v>
      </c>
      <c r="H81" s="2" t="str">
        <f t="shared" si="3"/>
        <v>1 pihenő</v>
      </c>
    </row>
    <row r="82" spans="1:8" x14ac:dyDescent="0.25">
      <c r="A82" s="1">
        <v>36945</v>
      </c>
      <c r="B82">
        <v>646</v>
      </c>
      <c r="C82">
        <v>42.6</v>
      </c>
      <c r="D82">
        <v>9879</v>
      </c>
      <c r="E82" s="2" t="s">
        <v>11</v>
      </c>
      <c r="F82" s="2">
        <f t="shared" si="4"/>
        <v>231.90140845070422</v>
      </c>
      <c r="G82" s="2">
        <f t="shared" si="5"/>
        <v>6.5944272445820431</v>
      </c>
      <c r="H82" s="2" t="str">
        <f t="shared" si="3"/>
        <v>2 pihenő</v>
      </c>
    </row>
    <row r="83" spans="1:8" x14ac:dyDescent="0.25">
      <c r="A83" s="1">
        <v>36953</v>
      </c>
      <c r="B83">
        <v>587</v>
      </c>
      <c r="C83">
        <v>41.54</v>
      </c>
      <c r="D83">
        <v>9633</v>
      </c>
      <c r="E83" s="2" t="s">
        <v>11</v>
      </c>
      <c r="F83" s="2">
        <f t="shared" si="4"/>
        <v>231.89696677900818</v>
      </c>
      <c r="G83" s="2">
        <f t="shared" si="5"/>
        <v>7.0766609880749582</v>
      </c>
      <c r="H83" s="2" t="str">
        <f t="shared" si="3"/>
        <v>1 pihenő</v>
      </c>
    </row>
    <row r="84" spans="1:8" x14ac:dyDescent="0.25">
      <c r="A84" s="1">
        <v>36960</v>
      </c>
      <c r="B84">
        <v>497</v>
      </c>
      <c r="C84">
        <v>32.950000000000003</v>
      </c>
      <c r="D84">
        <v>7608</v>
      </c>
      <c r="E84" s="2" t="s">
        <v>11</v>
      </c>
      <c r="F84" s="2">
        <f t="shared" si="4"/>
        <v>230.89529590288313</v>
      </c>
      <c r="G84" s="2">
        <f t="shared" si="5"/>
        <v>6.6297786720321934</v>
      </c>
      <c r="H84" s="2" t="str">
        <f t="shared" si="3"/>
        <v>1 pihenő</v>
      </c>
    </row>
    <row r="85" spans="1:8" x14ac:dyDescent="0.25">
      <c r="A85" s="1">
        <v>36971</v>
      </c>
      <c r="B85">
        <v>553</v>
      </c>
      <c r="C85">
        <v>40.950000000000003</v>
      </c>
      <c r="D85">
        <v>9210</v>
      </c>
      <c r="E85" s="2" t="s">
        <v>10</v>
      </c>
      <c r="F85" s="2">
        <f t="shared" si="4"/>
        <v>224.90842490842491</v>
      </c>
      <c r="G85" s="2">
        <f t="shared" si="5"/>
        <v>7.4050632911392409</v>
      </c>
      <c r="H85" s="2" t="str">
        <f t="shared" si="3"/>
        <v>1 pihenő</v>
      </c>
    </row>
    <row r="86" spans="1:8" x14ac:dyDescent="0.25">
      <c r="A86" s="1">
        <v>36975</v>
      </c>
      <c r="B86">
        <v>555</v>
      </c>
      <c r="C86">
        <v>36.04</v>
      </c>
      <c r="D86">
        <v>8105</v>
      </c>
      <c r="E86" s="2" t="s">
        <v>12</v>
      </c>
      <c r="F86" s="2">
        <f t="shared" si="4"/>
        <v>224.88901220865705</v>
      </c>
      <c r="G86" s="2">
        <f t="shared" si="5"/>
        <v>6.4936936936936931</v>
      </c>
      <c r="H86" s="2" t="str">
        <f t="shared" si="3"/>
        <v>1 pihenő</v>
      </c>
    </row>
    <row r="87" spans="1:8" x14ac:dyDescent="0.25">
      <c r="A87" s="1">
        <v>36984</v>
      </c>
      <c r="B87">
        <v>585</v>
      </c>
      <c r="C87">
        <v>40.26</v>
      </c>
      <c r="D87">
        <v>9175</v>
      </c>
      <c r="E87" s="2" t="s">
        <v>12</v>
      </c>
      <c r="F87" s="2">
        <f t="shared" si="4"/>
        <v>227.89369100844513</v>
      </c>
      <c r="G87" s="2">
        <f t="shared" si="5"/>
        <v>6.8820512820512807</v>
      </c>
      <c r="H87" s="2" t="str">
        <f t="shared" si="3"/>
        <v>1 pihenő</v>
      </c>
    </row>
    <row r="88" spans="1:8" x14ac:dyDescent="0.25">
      <c r="A88" s="1">
        <v>36992</v>
      </c>
      <c r="B88">
        <v>588</v>
      </c>
      <c r="C88">
        <v>42.08</v>
      </c>
      <c r="D88">
        <v>10053</v>
      </c>
      <c r="E88" s="2" t="s">
        <v>10</v>
      </c>
      <c r="F88" s="2">
        <f t="shared" si="4"/>
        <v>238.90209125475286</v>
      </c>
      <c r="G88" s="2">
        <f t="shared" si="5"/>
        <v>7.1564625850340136</v>
      </c>
      <c r="H88" s="2" t="str">
        <f t="shared" si="3"/>
        <v>1 pihenő</v>
      </c>
    </row>
    <row r="89" spans="1:8" x14ac:dyDescent="0.25">
      <c r="A89" s="1">
        <v>36999</v>
      </c>
      <c r="B89">
        <v>451</v>
      </c>
      <c r="C89">
        <v>31.55</v>
      </c>
      <c r="D89">
        <v>7537</v>
      </c>
      <c r="E89" s="2" t="s">
        <v>10</v>
      </c>
      <c r="F89" s="2">
        <f t="shared" si="4"/>
        <v>238.8906497622821</v>
      </c>
      <c r="G89" s="2">
        <f t="shared" si="5"/>
        <v>6.995565410199557</v>
      </c>
      <c r="H89" s="2" t="str">
        <f t="shared" si="3"/>
        <v>1 pihenő</v>
      </c>
    </row>
    <row r="90" spans="1:8" x14ac:dyDescent="0.25">
      <c r="A90" s="1">
        <v>37007</v>
      </c>
      <c r="B90">
        <v>535</v>
      </c>
      <c r="C90">
        <v>38.44</v>
      </c>
      <c r="D90">
        <v>9376</v>
      </c>
      <c r="E90" s="2" t="s">
        <v>10</v>
      </c>
      <c r="F90" s="2">
        <f t="shared" si="4"/>
        <v>243.91259105098857</v>
      </c>
      <c r="G90" s="2">
        <f t="shared" si="5"/>
        <v>7.1850467289719626</v>
      </c>
      <c r="H90" s="2" t="str">
        <f t="shared" si="3"/>
        <v>1 pihenő</v>
      </c>
    </row>
    <row r="91" spans="1:8" x14ac:dyDescent="0.25">
      <c r="A91" s="1">
        <v>37020</v>
      </c>
      <c r="B91">
        <v>599</v>
      </c>
      <c r="C91">
        <v>42.02</v>
      </c>
      <c r="D91">
        <v>10333</v>
      </c>
      <c r="E91" s="2" t="s">
        <v>10</v>
      </c>
      <c r="F91" s="2">
        <f t="shared" si="4"/>
        <v>245.90671108995716</v>
      </c>
      <c r="G91" s="2">
        <f t="shared" si="5"/>
        <v>7.0150250417362283</v>
      </c>
      <c r="H91" s="2" t="str">
        <f t="shared" si="3"/>
        <v>1 pihenő</v>
      </c>
    </row>
    <row r="92" spans="1:8" x14ac:dyDescent="0.25">
      <c r="A92" s="1">
        <v>37028</v>
      </c>
      <c r="B92">
        <v>545</v>
      </c>
      <c r="C92">
        <v>37.200000000000003</v>
      </c>
      <c r="D92">
        <v>9222</v>
      </c>
      <c r="E92" s="2" t="s">
        <v>10</v>
      </c>
      <c r="F92" s="2">
        <f t="shared" si="4"/>
        <v>247.90322580645159</v>
      </c>
      <c r="G92" s="2">
        <f t="shared" si="5"/>
        <v>6.8256880733944962</v>
      </c>
      <c r="H92" s="2" t="str">
        <f t="shared" si="3"/>
        <v>1 pihenő</v>
      </c>
    </row>
    <row r="93" spans="1:8" x14ac:dyDescent="0.25">
      <c r="A93" s="1">
        <v>37039</v>
      </c>
      <c r="B93">
        <v>607</v>
      </c>
      <c r="C93">
        <v>42.35</v>
      </c>
      <c r="D93">
        <v>10499</v>
      </c>
      <c r="E93" s="2" t="s">
        <v>8</v>
      </c>
      <c r="F93" s="2">
        <f t="shared" si="4"/>
        <v>247.91027154663519</v>
      </c>
      <c r="G93" s="2">
        <f t="shared" si="5"/>
        <v>6.9769357495881383</v>
      </c>
      <c r="H93" s="2" t="str">
        <f t="shared" si="3"/>
        <v>2 pihenő</v>
      </c>
    </row>
    <row r="94" spans="1:8" x14ac:dyDescent="0.25">
      <c r="A94" s="1">
        <v>37050</v>
      </c>
      <c r="B94">
        <v>542</v>
      </c>
      <c r="C94">
        <v>37.880000000000003</v>
      </c>
      <c r="D94">
        <v>9163</v>
      </c>
      <c r="E94" s="2" t="s">
        <v>11</v>
      </c>
      <c r="F94" s="2">
        <f t="shared" si="4"/>
        <v>241.89545934530094</v>
      </c>
      <c r="G94" s="2">
        <f t="shared" si="5"/>
        <v>6.9889298892988938</v>
      </c>
      <c r="H94" s="2" t="str">
        <f t="shared" si="3"/>
        <v>1 pihenő</v>
      </c>
    </row>
    <row r="95" spans="1:8" x14ac:dyDescent="0.25">
      <c r="A95" s="1">
        <v>37056</v>
      </c>
      <c r="B95">
        <v>499</v>
      </c>
      <c r="C95">
        <v>35.450000000000003</v>
      </c>
      <c r="D95">
        <v>8469</v>
      </c>
      <c r="E95" s="2" t="s">
        <v>11</v>
      </c>
      <c r="F95" s="2">
        <f t="shared" si="4"/>
        <v>238.89985895627643</v>
      </c>
      <c r="G95" s="2">
        <f t="shared" si="5"/>
        <v>7.1042084168336679</v>
      </c>
      <c r="H95" s="2" t="str">
        <f t="shared" si="3"/>
        <v>1 pihenő</v>
      </c>
    </row>
    <row r="96" spans="1:8" x14ac:dyDescent="0.25">
      <c r="A96" s="1">
        <v>37070</v>
      </c>
      <c r="B96">
        <v>433</v>
      </c>
      <c r="C96">
        <v>29.1</v>
      </c>
      <c r="D96">
        <v>6603</v>
      </c>
      <c r="E96" s="2" t="s">
        <v>10</v>
      </c>
      <c r="F96" s="2">
        <f t="shared" si="4"/>
        <v>226.90721649484536</v>
      </c>
      <c r="G96" s="2">
        <f t="shared" si="5"/>
        <v>6.7205542725173224</v>
      </c>
      <c r="H96" s="2" t="str">
        <f t="shared" si="3"/>
        <v>1 pihenő</v>
      </c>
    </row>
    <row r="97" spans="1:8" x14ac:dyDescent="0.25">
      <c r="A97" s="1">
        <v>37076</v>
      </c>
      <c r="B97">
        <v>607</v>
      </c>
      <c r="C97">
        <v>36.76</v>
      </c>
      <c r="D97">
        <v>8194</v>
      </c>
      <c r="E97" s="2" t="s">
        <v>10</v>
      </c>
      <c r="F97" s="2">
        <f t="shared" si="4"/>
        <v>222.90533188248097</v>
      </c>
      <c r="G97" s="2">
        <f t="shared" si="5"/>
        <v>6.0560131795716634</v>
      </c>
      <c r="H97" s="2" t="str">
        <f t="shared" si="3"/>
        <v>2 pihenő</v>
      </c>
    </row>
    <row r="98" spans="1:8" x14ac:dyDescent="0.25">
      <c r="A98" s="1">
        <v>37082</v>
      </c>
      <c r="B98">
        <v>643</v>
      </c>
      <c r="C98">
        <v>40</v>
      </c>
      <c r="D98">
        <v>8916</v>
      </c>
      <c r="E98" s="2" t="s">
        <v>10</v>
      </c>
      <c r="F98" s="2">
        <f t="shared" si="4"/>
        <v>222.9</v>
      </c>
      <c r="G98" s="2">
        <f t="shared" si="5"/>
        <v>6.2208398133748055</v>
      </c>
      <c r="H98" s="2" t="str">
        <f t="shared" si="3"/>
        <v>2 pihenő</v>
      </c>
    </row>
    <row r="99" spans="1:8" x14ac:dyDescent="0.25">
      <c r="A99" s="1">
        <v>37086</v>
      </c>
      <c r="B99">
        <v>495</v>
      </c>
      <c r="C99">
        <v>31.96</v>
      </c>
      <c r="D99">
        <v>7156</v>
      </c>
      <c r="E99" s="2" t="s">
        <v>8</v>
      </c>
      <c r="F99" s="2">
        <f t="shared" si="4"/>
        <v>223.9048811013767</v>
      </c>
      <c r="G99" s="2">
        <f t="shared" si="5"/>
        <v>6.4565656565656564</v>
      </c>
      <c r="H99" s="2" t="str">
        <f t="shared" si="3"/>
        <v>1 pihenő</v>
      </c>
    </row>
    <row r="100" spans="1:8" x14ac:dyDescent="0.25">
      <c r="A100" s="1">
        <v>37094</v>
      </c>
      <c r="B100">
        <v>553</v>
      </c>
      <c r="C100">
        <v>36.54</v>
      </c>
      <c r="D100">
        <v>8218</v>
      </c>
      <c r="E100" s="2" t="s">
        <v>18</v>
      </c>
      <c r="F100" s="2">
        <f t="shared" si="4"/>
        <v>224.90421455938699</v>
      </c>
      <c r="G100" s="2">
        <f t="shared" si="5"/>
        <v>6.6075949367088604</v>
      </c>
      <c r="H100" s="2" t="str">
        <f t="shared" si="3"/>
        <v>1 pihenő</v>
      </c>
    </row>
    <row r="101" spans="1:8" x14ac:dyDescent="0.25">
      <c r="A101" s="1">
        <v>37102</v>
      </c>
      <c r="B101">
        <v>567</v>
      </c>
      <c r="C101">
        <v>35.6</v>
      </c>
      <c r="D101">
        <v>7793</v>
      </c>
      <c r="E101" s="2" t="s">
        <v>11</v>
      </c>
      <c r="F101" s="2">
        <f t="shared" si="4"/>
        <v>218.90449438202248</v>
      </c>
      <c r="G101" s="2">
        <f t="shared" si="5"/>
        <v>6.2786596119929454</v>
      </c>
      <c r="H101" s="2" t="str">
        <f t="shared" si="3"/>
        <v>1 pihenő</v>
      </c>
    </row>
    <row r="102" spans="1:8" x14ac:dyDescent="0.25">
      <c r="A102" s="1">
        <v>37110</v>
      </c>
      <c r="B102">
        <v>441</v>
      </c>
      <c r="C102">
        <v>27.31</v>
      </c>
      <c r="D102">
        <v>6060</v>
      </c>
      <c r="E102" s="2" t="s">
        <v>10</v>
      </c>
      <c r="F102" s="2">
        <f t="shared" si="4"/>
        <v>221.8967411204687</v>
      </c>
      <c r="G102" s="2">
        <f t="shared" si="5"/>
        <v>6.1927437641723353</v>
      </c>
      <c r="H102" s="2" t="str">
        <f t="shared" si="3"/>
        <v>1 pihenő</v>
      </c>
    </row>
    <row r="103" spans="1:8" x14ac:dyDescent="0.25">
      <c r="A103" s="1">
        <v>37114</v>
      </c>
      <c r="B103">
        <v>525</v>
      </c>
      <c r="C103">
        <v>33.799999999999997</v>
      </c>
      <c r="D103">
        <v>7534</v>
      </c>
      <c r="E103" s="2" t="s">
        <v>12</v>
      </c>
      <c r="F103" s="2">
        <f t="shared" si="4"/>
        <v>222.89940828402368</v>
      </c>
      <c r="G103" s="2">
        <f t="shared" si="5"/>
        <v>6.4380952380952374</v>
      </c>
      <c r="H103" s="2" t="str">
        <f t="shared" si="3"/>
        <v>1 pihenő</v>
      </c>
    </row>
    <row r="104" spans="1:8" x14ac:dyDescent="0.25">
      <c r="A104" s="1">
        <v>37123</v>
      </c>
      <c r="B104">
        <v>588</v>
      </c>
      <c r="C104">
        <v>32.78</v>
      </c>
      <c r="D104">
        <v>7372</v>
      </c>
      <c r="E104" s="2" t="s">
        <v>8</v>
      </c>
      <c r="F104" s="2">
        <f t="shared" si="4"/>
        <v>224.89322757779132</v>
      </c>
      <c r="G104" s="2">
        <f t="shared" si="5"/>
        <v>5.574829931972789</v>
      </c>
      <c r="H104" s="2" t="str">
        <f t="shared" si="3"/>
        <v>1 pihenő</v>
      </c>
    </row>
    <row r="105" spans="1:8" x14ac:dyDescent="0.25">
      <c r="A105" s="1">
        <v>37130</v>
      </c>
      <c r="B105">
        <v>542</v>
      </c>
      <c r="C105">
        <v>35.270000000000003</v>
      </c>
      <c r="D105">
        <v>7862</v>
      </c>
      <c r="E105" s="2" t="s">
        <v>11</v>
      </c>
      <c r="F105" s="2">
        <f t="shared" si="4"/>
        <v>222.90898780833567</v>
      </c>
      <c r="G105" s="2">
        <f t="shared" si="5"/>
        <v>6.5073800738007392</v>
      </c>
      <c r="H105" s="2" t="str">
        <f t="shared" si="3"/>
        <v>1 pihenő</v>
      </c>
    </row>
    <row r="106" spans="1:8" x14ac:dyDescent="0.25">
      <c r="A106" s="1">
        <v>37138</v>
      </c>
      <c r="B106">
        <v>589</v>
      </c>
      <c r="C106">
        <v>39.74</v>
      </c>
      <c r="D106">
        <v>8898</v>
      </c>
      <c r="E106" s="2" t="s">
        <v>11</v>
      </c>
      <c r="F106" s="2">
        <f t="shared" si="4"/>
        <v>223.90538500251634</v>
      </c>
      <c r="G106" s="2">
        <f t="shared" si="5"/>
        <v>6.7470288624787784</v>
      </c>
      <c r="H106" s="2" t="str">
        <f t="shared" si="3"/>
        <v>1 pihenő</v>
      </c>
    </row>
    <row r="107" spans="1:8" x14ac:dyDescent="0.25">
      <c r="A107" s="1">
        <v>37146</v>
      </c>
      <c r="B107">
        <v>506</v>
      </c>
      <c r="C107">
        <v>37.26</v>
      </c>
      <c r="D107">
        <v>8529</v>
      </c>
      <c r="E107" s="2" t="s">
        <v>11</v>
      </c>
      <c r="F107" s="2">
        <f t="shared" si="4"/>
        <v>228.90499194847021</v>
      </c>
      <c r="G107" s="2">
        <f t="shared" si="5"/>
        <v>7.3636363636363642</v>
      </c>
      <c r="H107" s="2" t="str">
        <f t="shared" si="3"/>
        <v>1 pihenő</v>
      </c>
    </row>
    <row r="108" spans="1:8" x14ac:dyDescent="0.25">
      <c r="A108" s="1">
        <v>37152</v>
      </c>
      <c r="B108">
        <v>474</v>
      </c>
      <c r="C108">
        <v>31.97</v>
      </c>
      <c r="D108">
        <v>7350</v>
      </c>
      <c r="E108" s="2" t="s">
        <v>10</v>
      </c>
      <c r="F108" s="2">
        <f t="shared" si="4"/>
        <v>229.90303409446358</v>
      </c>
      <c r="G108" s="2">
        <f t="shared" si="5"/>
        <v>6.7447257383966246</v>
      </c>
      <c r="H108" s="2" t="str">
        <f t="shared" si="3"/>
        <v>1 pihenő</v>
      </c>
    </row>
    <row r="109" spans="1:8" x14ac:dyDescent="0.25">
      <c r="A109" s="1">
        <v>37159</v>
      </c>
      <c r="B109">
        <v>501</v>
      </c>
      <c r="C109">
        <v>36.979999999999997</v>
      </c>
      <c r="D109">
        <v>8465</v>
      </c>
      <c r="E109" s="2" t="s">
        <v>10</v>
      </c>
      <c r="F109" s="2">
        <f t="shared" si="4"/>
        <v>228.90751757706872</v>
      </c>
      <c r="G109" s="2">
        <f t="shared" si="5"/>
        <v>7.381237524950099</v>
      </c>
      <c r="H109" s="2" t="str">
        <f t="shared" si="3"/>
        <v>1 pihenő</v>
      </c>
    </row>
    <row r="110" spans="1:8" x14ac:dyDescent="0.25">
      <c r="A110" s="1">
        <v>37168</v>
      </c>
      <c r="B110">
        <v>576</v>
      </c>
      <c r="C110">
        <v>39.11</v>
      </c>
      <c r="D110">
        <v>8600</v>
      </c>
      <c r="E110" s="2" t="s">
        <v>10</v>
      </c>
      <c r="F110" s="2">
        <f t="shared" si="4"/>
        <v>219.89261058552799</v>
      </c>
      <c r="G110" s="2">
        <f t="shared" si="5"/>
        <v>6.7899305555555554</v>
      </c>
      <c r="H110" s="2" t="str">
        <f t="shared" si="3"/>
        <v>1 pihenő</v>
      </c>
    </row>
    <row r="111" spans="1:8" x14ac:dyDescent="0.25">
      <c r="A111" s="1">
        <v>37169</v>
      </c>
      <c r="B111">
        <v>399</v>
      </c>
      <c r="C111">
        <v>26.82</v>
      </c>
      <c r="D111">
        <v>5874</v>
      </c>
      <c r="E111" s="2" t="s">
        <v>19</v>
      </c>
      <c r="F111" s="2">
        <f t="shared" si="4"/>
        <v>219.01565995525726</v>
      </c>
      <c r="G111" s="2">
        <f t="shared" si="5"/>
        <v>6.7218045112781954</v>
      </c>
      <c r="H111" s="2" t="str">
        <f t="shared" si="3"/>
        <v>1 pihenő</v>
      </c>
    </row>
    <row r="112" spans="1:8" x14ac:dyDescent="0.25">
      <c r="A112" s="1">
        <v>37170</v>
      </c>
      <c r="B112">
        <v>431</v>
      </c>
      <c r="C112">
        <v>30.04</v>
      </c>
      <c r="D112">
        <v>7118</v>
      </c>
      <c r="E112" s="2" t="s">
        <v>8</v>
      </c>
      <c r="F112" s="2">
        <f t="shared" si="4"/>
        <v>236.95073235685754</v>
      </c>
      <c r="G112" s="2">
        <f t="shared" si="5"/>
        <v>6.9698375870069604</v>
      </c>
      <c r="H112" s="2" t="str">
        <f t="shared" si="3"/>
        <v>1 pihenő</v>
      </c>
    </row>
    <row r="113" spans="1:8" x14ac:dyDescent="0.25">
      <c r="A113" s="1">
        <v>37177</v>
      </c>
      <c r="B113">
        <v>695</v>
      </c>
      <c r="C113">
        <v>42.52</v>
      </c>
      <c r="D113">
        <v>9180</v>
      </c>
      <c r="E113" s="2" t="s">
        <v>11</v>
      </c>
      <c r="F113" s="2">
        <f t="shared" si="4"/>
        <v>215.89840075258701</v>
      </c>
      <c r="G113" s="2">
        <f t="shared" si="5"/>
        <v>6.1179856115107922</v>
      </c>
      <c r="H113" s="2" t="str">
        <f t="shared" si="3"/>
        <v>2 pihenő</v>
      </c>
    </row>
    <row r="114" spans="1:8" x14ac:dyDescent="0.25">
      <c r="A114" s="1">
        <v>37187</v>
      </c>
      <c r="B114">
        <v>623</v>
      </c>
      <c r="C114">
        <v>42.09</v>
      </c>
      <c r="D114">
        <v>8793</v>
      </c>
      <c r="E114" s="2" t="s">
        <v>11</v>
      </c>
      <c r="F114" s="2">
        <f t="shared" si="4"/>
        <v>208.90947968638631</v>
      </c>
      <c r="G114" s="2">
        <f t="shared" si="5"/>
        <v>6.7560192616372401</v>
      </c>
      <c r="H114" s="2" t="str">
        <f t="shared" si="3"/>
        <v>2 pihenő</v>
      </c>
    </row>
    <row r="115" spans="1:8" x14ac:dyDescent="0.25">
      <c r="A115" s="1">
        <v>37192</v>
      </c>
      <c r="B115">
        <v>561</v>
      </c>
      <c r="C115">
        <v>38.979999999999997</v>
      </c>
      <c r="D115">
        <v>8260</v>
      </c>
      <c r="E115" s="2" t="s">
        <v>8</v>
      </c>
      <c r="F115" s="2">
        <f t="shared" si="4"/>
        <v>211.90354027706519</v>
      </c>
      <c r="G115" s="2">
        <f t="shared" si="5"/>
        <v>6.9483065953654179</v>
      </c>
      <c r="H115" s="2" t="str">
        <f t="shared" si="3"/>
        <v>1 pihenő</v>
      </c>
    </row>
    <row r="116" spans="1:8" x14ac:dyDescent="0.25">
      <c r="A116" s="1">
        <v>37204</v>
      </c>
      <c r="B116">
        <v>566</v>
      </c>
      <c r="C116">
        <v>42.73</v>
      </c>
      <c r="D116">
        <v>8798</v>
      </c>
      <c r="E116" s="2" t="s">
        <v>10</v>
      </c>
      <c r="F116" s="2">
        <f t="shared" si="4"/>
        <v>205.89749590451675</v>
      </c>
      <c r="G116" s="2">
        <f t="shared" si="5"/>
        <v>7.5494699646643095</v>
      </c>
      <c r="H116" s="2" t="str">
        <f t="shared" si="3"/>
        <v>1 pihenő</v>
      </c>
    </row>
    <row r="117" spans="1:8" x14ac:dyDescent="0.25">
      <c r="A117" s="1">
        <v>37214</v>
      </c>
      <c r="B117">
        <v>460</v>
      </c>
      <c r="C117">
        <v>36.35</v>
      </c>
      <c r="D117">
        <v>7448</v>
      </c>
      <c r="E117" s="2" t="s">
        <v>11</v>
      </c>
      <c r="F117" s="2">
        <f t="shared" si="4"/>
        <v>204.8968363136176</v>
      </c>
      <c r="G117" s="2">
        <f t="shared" si="5"/>
        <v>7.9021739130434785</v>
      </c>
      <c r="H117" s="2" t="str">
        <f t="shared" si="3"/>
        <v>1 pihenő</v>
      </c>
    </row>
    <row r="118" spans="1:8" x14ac:dyDescent="0.25">
      <c r="A118" s="1">
        <v>37221</v>
      </c>
      <c r="B118">
        <v>508</v>
      </c>
      <c r="C118">
        <v>38.11</v>
      </c>
      <c r="D118">
        <v>7694</v>
      </c>
      <c r="E118" s="2" t="s">
        <v>11</v>
      </c>
      <c r="F118" s="2">
        <f t="shared" si="4"/>
        <v>201.88926790868538</v>
      </c>
      <c r="G118" s="2">
        <f t="shared" si="5"/>
        <v>7.5019685039370083</v>
      </c>
      <c r="H118" s="2" t="str">
        <f t="shared" si="3"/>
        <v>1 pihenő</v>
      </c>
    </row>
    <row r="119" spans="1:8" x14ac:dyDescent="0.25">
      <c r="A119" s="1">
        <v>37229</v>
      </c>
      <c r="B119">
        <v>497</v>
      </c>
      <c r="C119">
        <v>39.24</v>
      </c>
      <c r="D119">
        <v>7883</v>
      </c>
      <c r="E119" s="2" t="s">
        <v>11</v>
      </c>
      <c r="F119" s="2">
        <f t="shared" si="4"/>
        <v>200.8919469928644</v>
      </c>
      <c r="G119" s="2">
        <f t="shared" si="5"/>
        <v>7.8953722334004022</v>
      </c>
      <c r="H119" s="2" t="str">
        <f t="shared" si="3"/>
        <v>1 pihenő</v>
      </c>
    </row>
    <row r="120" spans="1:8" x14ac:dyDescent="0.25">
      <c r="A120" s="1">
        <v>37236</v>
      </c>
      <c r="B120">
        <v>541</v>
      </c>
      <c r="C120">
        <v>41.01</v>
      </c>
      <c r="D120">
        <v>8280</v>
      </c>
      <c r="E120" s="2" t="s">
        <v>8</v>
      </c>
      <c r="F120" s="2">
        <f t="shared" si="4"/>
        <v>201.90197512801757</v>
      </c>
      <c r="G120" s="2">
        <f t="shared" si="5"/>
        <v>7.5804066543438076</v>
      </c>
      <c r="H120" s="2" t="str">
        <f t="shared" si="3"/>
        <v>1 pihenő</v>
      </c>
    </row>
    <row r="121" spans="1:8" x14ac:dyDescent="0.25">
      <c r="A121" s="1">
        <v>37242</v>
      </c>
      <c r="B121">
        <v>551</v>
      </c>
      <c r="C121">
        <v>41.98</v>
      </c>
      <c r="D121">
        <v>8476</v>
      </c>
      <c r="E121" s="2" t="s">
        <v>10</v>
      </c>
      <c r="F121" s="2">
        <f t="shared" si="4"/>
        <v>201.90566936636495</v>
      </c>
      <c r="G121" s="2">
        <f t="shared" si="5"/>
        <v>7.6188747731397459</v>
      </c>
      <c r="H121" s="2" t="str">
        <f t="shared" si="3"/>
        <v>1 pihenő</v>
      </c>
    </row>
    <row r="122" spans="1:8" x14ac:dyDescent="0.25">
      <c r="A122" s="1">
        <v>37250</v>
      </c>
      <c r="B122">
        <v>512</v>
      </c>
      <c r="C122">
        <v>39.49</v>
      </c>
      <c r="D122">
        <v>7894</v>
      </c>
      <c r="E122" s="2" t="s">
        <v>8</v>
      </c>
      <c r="F122" s="2">
        <f t="shared" si="4"/>
        <v>199.89870853380603</v>
      </c>
      <c r="G122" s="2">
        <f t="shared" si="5"/>
        <v>7.712890625</v>
      </c>
      <c r="H122" s="2" t="str">
        <f t="shared" si="3"/>
        <v>1 pihenő</v>
      </c>
    </row>
    <row r="123" spans="1:8" x14ac:dyDescent="0.25">
      <c r="A123" s="1">
        <v>37264</v>
      </c>
      <c r="B123">
        <v>579</v>
      </c>
      <c r="C123">
        <v>44.72</v>
      </c>
      <c r="D123">
        <v>8940</v>
      </c>
      <c r="E123" s="2" t="s">
        <v>10</v>
      </c>
      <c r="F123" s="2">
        <f t="shared" si="4"/>
        <v>199.91055456171736</v>
      </c>
      <c r="G123" s="2">
        <f t="shared" si="5"/>
        <v>7.723661485319516</v>
      </c>
      <c r="H123" s="2" t="str">
        <f t="shared" si="3"/>
        <v>1 pihenő</v>
      </c>
    </row>
    <row r="124" spans="1:8" x14ac:dyDescent="0.25">
      <c r="A124" s="1">
        <v>37273</v>
      </c>
      <c r="B124">
        <v>556</v>
      </c>
      <c r="C124">
        <v>41.83</v>
      </c>
      <c r="D124">
        <v>8487</v>
      </c>
      <c r="E124" s="2" t="s">
        <v>20</v>
      </c>
      <c r="F124" s="2">
        <f t="shared" si="4"/>
        <v>202.89266076978245</v>
      </c>
      <c r="G124" s="2">
        <f t="shared" si="5"/>
        <v>7.523381294964028</v>
      </c>
      <c r="H124" s="2" t="str">
        <f t="shared" si="3"/>
        <v>1 pihenő</v>
      </c>
    </row>
    <row r="125" spans="1:8" x14ac:dyDescent="0.25">
      <c r="A125" s="1">
        <v>37283</v>
      </c>
      <c r="B125">
        <v>433</v>
      </c>
      <c r="C125">
        <v>31.5</v>
      </c>
      <c r="D125">
        <v>6486</v>
      </c>
      <c r="E125" s="2" t="s">
        <v>8</v>
      </c>
      <c r="F125" s="2">
        <f t="shared" si="4"/>
        <v>205.9047619047619</v>
      </c>
      <c r="G125" s="2">
        <f t="shared" si="5"/>
        <v>7.274826789838337</v>
      </c>
      <c r="H125" s="2" t="str">
        <f t="shared" si="3"/>
        <v>1 pihenő</v>
      </c>
    </row>
    <row r="126" spans="1:8" x14ac:dyDescent="0.25">
      <c r="A126" s="1">
        <v>37294</v>
      </c>
      <c r="B126">
        <v>562</v>
      </c>
      <c r="C126">
        <v>42.07</v>
      </c>
      <c r="D126">
        <v>8662</v>
      </c>
      <c r="E126" s="2" t="s">
        <v>10</v>
      </c>
      <c r="F126" s="2">
        <f t="shared" si="4"/>
        <v>205.89493700974566</v>
      </c>
      <c r="G126" s="2">
        <f t="shared" si="5"/>
        <v>7.4857651245551606</v>
      </c>
      <c r="H126" s="2" t="str">
        <f t="shared" si="3"/>
        <v>1 pihenő</v>
      </c>
    </row>
    <row r="127" spans="1:8" x14ac:dyDescent="0.25">
      <c r="A127" s="1">
        <v>37302</v>
      </c>
      <c r="B127">
        <v>491</v>
      </c>
      <c r="C127">
        <v>36.090000000000003</v>
      </c>
      <c r="D127">
        <v>7431</v>
      </c>
      <c r="E127" s="2" t="s">
        <v>10</v>
      </c>
      <c r="F127" s="2">
        <f t="shared" si="4"/>
        <v>205.90191188694928</v>
      </c>
      <c r="G127" s="2">
        <f t="shared" si="5"/>
        <v>7.3503054989816716</v>
      </c>
      <c r="H127" s="2" t="str">
        <f t="shared" si="3"/>
        <v>1 pihenő</v>
      </c>
    </row>
    <row r="128" spans="1:8" x14ac:dyDescent="0.25">
      <c r="A128" s="1">
        <v>37310</v>
      </c>
      <c r="B128">
        <v>546</v>
      </c>
      <c r="C128">
        <v>38.43</v>
      </c>
      <c r="D128">
        <v>7874</v>
      </c>
      <c r="E128" s="2" t="s">
        <v>11</v>
      </c>
      <c r="F128" s="2">
        <f t="shared" si="4"/>
        <v>204.89201144938849</v>
      </c>
      <c r="G128" s="2">
        <f t="shared" si="5"/>
        <v>7.0384615384615383</v>
      </c>
      <c r="H128" s="2" t="str">
        <f t="shared" si="3"/>
        <v>1 pihenő</v>
      </c>
    </row>
    <row r="129" spans="1:8" x14ac:dyDescent="0.25">
      <c r="A129" s="1">
        <v>37313</v>
      </c>
      <c r="B129">
        <v>683</v>
      </c>
      <c r="C129">
        <v>43.16</v>
      </c>
      <c r="D129">
        <v>9016</v>
      </c>
      <c r="E129" s="2" t="s">
        <v>21</v>
      </c>
      <c r="F129" s="2">
        <f t="shared" si="4"/>
        <v>208.89712696941615</v>
      </c>
      <c r="G129" s="2">
        <f t="shared" si="5"/>
        <v>6.3191800878477293</v>
      </c>
      <c r="H129" s="2" t="str">
        <f t="shared" si="3"/>
        <v>2 pihenő</v>
      </c>
    </row>
    <row r="130" spans="1:8" x14ac:dyDescent="0.25">
      <c r="A130" s="1">
        <v>37327</v>
      </c>
      <c r="B130">
        <v>504</v>
      </c>
      <c r="C130">
        <v>38.07</v>
      </c>
      <c r="D130">
        <v>7991</v>
      </c>
      <c r="E130" s="2" t="s">
        <v>10</v>
      </c>
      <c r="F130" s="2">
        <f t="shared" si="4"/>
        <v>209.90281061203046</v>
      </c>
      <c r="G130" s="2">
        <f t="shared" si="5"/>
        <v>7.5535714285714288</v>
      </c>
      <c r="H130" s="2" t="str">
        <f t="shared" ref="H130:H193" si="6">IF(B130&lt;600,IF(B130&lt;300,"","1 pihenő"),"2 pihenő")</f>
        <v>1 pihenő</v>
      </c>
    </row>
    <row r="131" spans="1:8" x14ac:dyDescent="0.25">
      <c r="A131" s="1">
        <v>37339</v>
      </c>
      <c r="B131">
        <v>533</v>
      </c>
      <c r="C131">
        <v>40.74</v>
      </c>
      <c r="D131">
        <v>8837</v>
      </c>
      <c r="E131" s="2" t="s">
        <v>10</v>
      </c>
      <c r="F131" s="2">
        <f t="shared" ref="F131:F194" si="7">D131/C131</f>
        <v>216.91212567501225</v>
      </c>
      <c r="G131" s="2">
        <f t="shared" ref="G131:G194" si="8">C131/B131*100</f>
        <v>7.6435272045028144</v>
      </c>
      <c r="H131" s="2" t="str">
        <f t="shared" si="6"/>
        <v>1 pihenő</v>
      </c>
    </row>
    <row r="132" spans="1:8" x14ac:dyDescent="0.25">
      <c r="A132" s="1">
        <v>37351</v>
      </c>
      <c r="B132">
        <v>620</v>
      </c>
      <c r="C132">
        <v>44.41</v>
      </c>
      <c r="D132">
        <v>9721</v>
      </c>
      <c r="E132" s="2" t="s">
        <v>10</v>
      </c>
      <c r="F132" s="2">
        <f t="shared" si="7"/>
        <v>218.89214140959245</v>
      </c>
      <c r="G132" s="2">
        <f t="shared" si="8"/>
        <v>7.1629032258064509</v>
      </c>
      <c r="H132" s="2" t="str">
        <f t="shared" si="6"/>
        <v>2 pihenő</v>
      </c>
    </row>
    <row r="133" spans="1:8" x14ac:dyDescent="0.25">
      <c r="A133" s="1">
        <v>37363</v>
      </c>
      <c r="B133">
        <v>541</v>
      </c>
      <c r="C133">
        <v>40.39</v>
      </c>
      <c r="D133">
        <v>8963</v>
      </c>
      <c r="E133" s="2" t="s">
        <v>10</v>
      </c>
      <c r="F133" s="2">
        <f t="shared" si="7"/>
        <v>221.91136419905916</v>
      </c>
      <c r="G133" s="2">
        <f t="shared" si="8"/>
        <v>7.4658040665434386</v>
      </c>
      <c r="H133" s="2" t="str">
        <f t="shared" si="6"/>
        <v>1 pihenő</v>
      </c>
    </row>
    <row r="134" spans="1:8" x14ac:dyDescent="0.25">
      <c r="A134" s="1">
        <v>37373</v>
      </c>
      <c r="B134">
        <v>532</v>
      </c>
      <c r="C134">
        <v>36.909999999999997</v>
      </c>
      <c r="D134">
        <v>8190</v>
      </c>
      <c r="E134" s="2" t="s">
        <v>22</v>
      </c>
      <c r="F134" s="2">
        <f t="shared" si="7"/>
        <v>221.89108642644271</v>
      </c>
      <c r="G134" s="2">
        <f t="shared" si="8"/>
        <v>6.9379699248120295</v>
      </c>
      <c r="H134" s="2" t="str">
        <f t="shared" si="6"/>
        <v>1 pihenő</v>
      </c>
    </row>
    <row r="135" spans="1:8" x14ac:dyDescent="0.25">
      <c r="A135" s="1">
        <v>37383</v>
      </c>
      <c r="B135">
        <v>511</v>
      </c>
      <c r="C135">
        <v>34.94</v>
      </c>
      <c r="D135">
        <v>7718</v>
      </c>
      <c r="E135" s="2" t="s">
        <v>8</v>
      </c>
      <c r="F135" s="2">
        <f t="shared" si="7"/>
        <v>220.89295935890098</v>
      </c>
      <c r="G135" s="2">
        <f t="shared" si="8"/>
        <v>6.8375733855185903</v>
      </c>
      <c r="H135" s="2" t="str">
        <f t="shared" si="6"/>
        <v>1 pihenő</v>
      </c>
    </row>
    <row r="136" spans="1:8" x14ac:dyDescent="0.25">
      <c r="A136" s="1">
        <v>37392</v>
      </c>
      <c r="B136">
        <v>586</v>
      </c>
      <c r="C136">
        <v>39.68</v>
      </c>
      <c r="D136">
        <v>8805</v>
      </c>
      <c r="E136" s="2" t="s">
        <v>10</v>
      </c>
      <c r="F136" s="2">
        <f t="shared" si="7"/>
        <v>221.90020161290323</v>
      </c>
      <c r="G136" s="2">
        <f t="shared" si="8"/>
        <v>6.7713310580204773</v>
      </c>
      <c r="H136" s="2" t="str">
        <f t="shared" si="6"/>
        <v>1 pihenő</v>
      </c>
    </row>
    <row r="137" spans="1:8" x14ac:dyDescent="0.25">
      <c r="A137" s="1">
        <v>37404</v>
      </c>
      <c r="B137">
        <v>583</v>
      </c>
      <c r="C137">
        <v>41.61</v>
      </c>
      <c r="D137">
        <v>9233</v>
      </c>
      <c r="E137" s="2" t="s">
        <v>10</v>
      </c>
      <c r="F137" s="2">
        <f t="shared" si="7"/>
        <v>221.89377553472724</v>
      </c>
      <c r="G137" s="2">
        <f t="shared" si="8"/>
        <v>7.1372212692967407</v>
      </c>
      <c r="H137" s="2" t="str">
        <f t="shared" si="6"/>
        <v>1 pihenő</v>
      </c>
    </row>
    <row r="138" spans="1:8" x14ac:dyDescent="0.25">
      <c r="A138" s="1">
        <v>37410</v>
      </c>
      <c r="B138">
        <v>484</v>
      </c>
      <c r="C138">
        <v>35.17</v>
      </c>
      <c r="D138">
        <v>7699</v>
      </c>
      <c r="E138" s="2" t="s">
        <v>11</v>
      </c>
      <c r="F138" s="2">
        <f t="shared" si="7"/>
        <v>218.90816036394654</v>
      </c>
      <c r="G138" s="2">
        <f t="shared" si="8"/>
        <v>7.2665289256198351</v>
      </c>
      <c r="H138" s="2" t="str">
        <f t="shared" si="6"/>
        <v>1 pihenő</v>
      </c>
    </row>
    <row r="139" spans="1:8" x14ac:dyDescent="0.25">
      <c r="A139" s="1">
        <v>37420</v>
      </c>
      <c r="B139">
        <v>573</v>
      </c>
      <c r="C139">
        <v>39.42</v>
      </c>
      <c r="D139">
        <v>8511</v>
      </c>
      <c r="E139" s="2" t="s">
        <v>12</v>
      </c>
      <c r="F139" s="2">
        <f t="shared" si="7"/>
        <v>215.9056316590563</v>
      </c>
      <c r="G139" s="2">
        <f t="shared" si="8"/>
        <v>6.8795811518324603</v>
      </c>
      <c r="H139" s="2" t="str">
        <f t="shared" si="6"/>
        <v>1 pihenő</v>
      </c>
    </row>
    <row r="140" spans="1:8" x14ac:dyDescent="0.25">
      <c r="A140" s="1">
        <v>37432</v>
      </c>
      <c r="B140">
        <v>597</v>
      </c>
      <c r="C140">
        <v>40.35</v>
      </c>
      <c r="D140">
        <v>8792</v>
      </c>
      <c r="E140" s="2" t="s">
        <v>10</v>
      </c>
      <c r="F140" s="2">
        <f t="shared" si="7"/>
        <v>217.89343246592315</v>
      </c>
      <c r="G140" s="2">
        <f t="shared" si="8"/>
        <v>6.7587939698492461</v>
      </c>
      <c r="H140" s="2" t="str">
        <f t="shared" si="6"/>
        <v>1 pihenő</v>
      </c>
    </row>
    <row r="141" spans="1:8" x14ac:dyDescent="0.25">
      <c r="A141" s="1">
        <v>37442</v>
      </c>
      <c r="B141">
        <v>525</v>
      </c>
      <c r="C141">
        <v>38.229999999999997</v>
      </c>
      <c r="D141">
        <v>8674</v>
      </c>
      <c r="E141" s="2" t="s">
        <v>10</v>
      </c>
      <c r="F141" s="2">
        <f t="shared" si="7"/>
        <v>226.88987705990061</v>
      </c>
      <c r="G141" s="2">
        <f t="shared" si="8"/>
        <v>7.2819047619047614</v>
      </c>
      <c r="H141" s="2" t="str">
        <f t="shared" si="6"/>
        <v>1 pihenő</v>
      </c>
    </row>
    <row r="142" spans="1:8" x14ac:dyDescent="0.25">
      <c r="A142" s="1">
        <v>37450</v>
      </c>
      <c r="B142">
        <v>523</v>
      </c>
      <c r="C142">
        <v>33.35</v>
      </c>
      <c r="D142">
        <v>7701</v>
      </c>
      <c r="E142" s="2" t="s">
        <v>23</v>
      </c>
      <c r="F142" s="2">
        <f t="shared" si="7"/>
        <v>230.91454272863567</v>
      </c>
      <c r="G142" s="2">
        <f t="shared" si="8"/>
        <v>6.3766730401529639</v>
      </c>
      <c r="H142" s="2" t="str">
        <f t="shared" si="6"/>
        <v>1 pihenő</v>
      </c>
    </row>
    <row r="143" spans="1:8" x14ac:dyDescent="0.25">
      <c r="A143" s="1">
        <v>37458</v>
      </c>
      <c r="B143">
        <v>540</v>
      </c>
      <c r="C143">
        <v>36.97</v>
      </c>
      <c r="D143">
        <v>8573</v>
      </c>
      <c r="E143" s="2" t="s">
        <v>8</v>
      </c>
      <c r="F143" s="2">
        <f t="shared" si="7"/>
        <v>231.89072220719504</v>
      </c>
      <c r="G143" s="2">
        <f t="shared" si="8"/>
        <v>6.8462962962962965</v>
      </c>
      <c r="H143" s="2" t="str">
        <f t="shared" si="6"/>
        <v>1 pihenő</v>
      </c>
    </row>
    <row r="144" spans="1:8" x14ac:dyDescent="0.25">
      <c r="A144" s="1">
        <v>37468</v>
      </c>
      <c r="B144">
        <v>586</v>
      </c>
      <c r="C144">
        <v>38.9</v>
      </c>
      <c r="D144">
        <v>8982</v>
      </c>
      <c r="E144" s="2" t="s">
        <v>10</v>
      </c>
      <c r="F144" s="2">
        <f t="shared" si="7"/>
        <v>230.89974293059126</v>
      </c>
      <c r="G144" s="2">
        <f t="shared" si="8"/>
        <v>6.6382252559726957</v>
      </c>
      <c r="H144" s="2" t="str">
        <f t="shared" si="6"/>
        <v>1 pihenő</v>
      </c>
    </row>
    <row r="145" spans="1:8" x14ac:dyDescent="0.25">
      <c r="A145" s="1">
        <v>37479</v>
      </c>
      <c r="B145">
        <v>469</v>
      </c>
      <c r="C145">
        <v>31.04</v>
      </c>
      <c r="D145">
        <v>7260</v>
      </c>
      <c r="E145" s="2" t="s">
        <v>8</v>
      </c>
      <c r="F145" s="2">
        <f t="shared" si="7"/>
        <v>233.89175257731961</v>
      </c>
      <c r="G145" s="2">
        <f t="shared" si="8"/>
        <v>6.6183368869936032</v>
      </c>
      <c r="H145" s="2" t="str">
        <f t="shared" si="6"/>
        <v>1 pihenő</v>
      </c>
    </row>
    <row r="146" spans="1:8" x14ac:dyDescent="0.25">
      <c r="A146" s="1">
        <v>37487</v>
      </c>
      <c r="B146">
        <v>521</v>
      </c>
      <c r="C146">
        <v>32.99</v>
      </c>
      <c r="D146">
        <v>7716</v>
      </c>
      <c r="E146" s="2" t="s">
        <v>8</v>
      </c>
      <c r="F146" s="2">
        <f t="shared" si="7"/>
        <v>233.88905729008789</v>
      </c>
      <c r="G146" s="2">
        <f t="shared" si="8"/>
        <v>6.3320537428023034</v>
      </c>
      <c r="H146" s="2" t="str">
        <f t="shared" si="6"/>
        <v>1 pihenő</v>
      </c>
    </row>
    <row r="147" spans="1:8" x14ac:dyDescent="0.25">
      <c r="A147" s="1">
        <v>37495</v>
      </c>
      <c r="B147">
        <v>584</v>
      </c>
      <c r="C147">
        <v>37.18</v>
      </c>
      <c r="D147">
        <v>8771</v>
      </c>
      <c r="E147" s="2" t="s">
        <v>24</v>
      </c>
      <c r="F147" s="2">
        <f t="shared" si="7"/>
        <v>235.90640129101666</v>
      </c>
      <c r="G147" s="2">
        <f t="shared" si="8"/>
        <v>6.3664383561643838</v>
      </c>
      <c r="H147" s="2" t="str">
        <f t="shared" si="6"/>
        <v>1 pihenő</v>
      </c>
    </row>
    <row r="148" spans="1:8" x14ac:dyDescent="0.25">
      <c r="A148" s="1">
        <v>37503</v>
      </c>
      <c r="B148">
        <v>534</v>
      </c>
      <c r="C148">
        <v>36.549999999999997</v>
      </c>
      <c r="D148">
        <v>8622</v>
      </c>
      <c r="E148" s="2" t="s">
        <v>11</v>
      </c>
      <c r="F148" s="2">
        <f t="shared" si="7"/>
        <v>235.89603283173736</v>
      </c>
      <c r="G148" s="2">
        <f t="shared" si="8"/>
        <v>6.8445692883895131</v>
      </c>
      <c r="H148" s="2" t="str">
        <f t="shared" si="6"/>
        <v>1 pihenő</v>
      </c>
    </row>
    <row r="149" spans="1:8" x14ac:dyDescent="0.25">
      <c r="A149" s="1">
        <v>37512</v>
      </c>
      <c r="B149">
        <v>548</v>
      </c>
      <c r="C149">
        <v>39.770000000000003</v>
      </c>
      <c r="D149">
        <v>9382</v>
      </c>
      <c r="E149" s="2" t="s">
        <v>11</v>
      </c>
      <c r="F149" s="2">
        <f t="shared" si="7"/>
        <v>235.90646215740506</v>
      </c>
      <c r="G149" s="2">
        <f t="shared" si="8"/>
        <v>7.2572992700729939</v>
      </c>
      <c r="H149" s="2" t="str">
        <f t="shared" si="6"/>
        <v>1 pihenő</v>
      </c>
    </row>
    <row r="150" spans="1:8" x14ac:dyDescent="0.25">
      <c r="A150" s="1">
        <v>37519</v>
      </c>
      <c r="B150">
        <v>518</v>
      </c>
      <c r="C150">
        <v>36.299999999999997</v>
      </c>
      <c r="D150">
        <v>8636</v>
      </c>
      <c r="E150" s="2" t="s">
        <v>10</v>
      </c>
      <c r="F150" s="2">
        <f t="shared" si="7"/>
        <v>237.90633608815429</v>
      </c>
      <c r="G150" s="2">
        <f t="shared" si="8"/>
        <v>7.0077220077220073</v>
      </c>
      <c r="H150" s="2" t="str">
        <f t="shared" si="6"/>
        <v>1 pihenő</v>
      </c>
    </row>
    <row r="151" spans="1:8" x14ac:dyDescent="0.25">
      <c r="A151" s="1">
        <v>37529</v>
      </c>
      <c r="B151">
        <v>553</v>
      </c>
      <c r="C151">
        <v>42.3</v>
      </c>
      <c r="D151">
        <v>10063</v>
      </c>
      <c r="E151" s="2" t="s">
        <v>11</v>
      </c>
      <c r="F151" s="2">
        <f t="shared" si="7"/>
        <v>237.89598108747046</v>
      </c>
      <c r="G151" s="2">
        <f t="shared" si="8"/>
        <v>7.649186256781193</v>
      </c>
      <c r="H151" s="2" t="str">
        <f t="shared" si="6"/>
        <v>1 pihenő</v>
      </c>
    </row>
    <row r="152" spans="1:8" x14ac:dyDescent="0.25">
      <c r="A152" s="1">
        <v>37574</v>
      </c>
      <c r="B152">
        <v>549</v>
      </c>
      <c r="C152">
        <v>39.01</v>
      </c>
      <c r="D152">
        <v>8734</v>
      </c>
      <c r="E152" s="2" t="s">
        <v>11</v>
      </c>
      <c r="F152" s="2">
        <f t="shared" si="7"/>
        <v>223.89130992053322</v>
      </c>
      <c r="G152" s="2">
        <f t="shared" si="8"/>
        <v>7.1056466302367935</v>
      </c>
      <c r="H152" s="2" t="str">
        <f t="shared" si="6"/>
        <v>1 pihenő</v>
      </c>
    </row>
    <row r="153" spans="1:8" x14ac:dyDescent="0.25">
      <c r="A153" s="1">
        <v>37599</v>
      </c>
      <c r="B153">
        <v>535</v>
      </c>
      <c r="C153">
        <v>40.98</v>
      </c>
      <c r="D153">
        <v>9134</v>
      </c>
      <c r="E153" s="2" t="s">
        <v>11</v>
      </c>
      <c r="F153" s="2">
        <f t="shared" si="7"/>
        <v>222.88921425085408</v>
      </c>
      <c r="G153" s="2">
        <f t="shared" si="8"/>
        <v>7.659813084112149</v>
      </c>
      <c r="H153" s="2" t="str">
        <f t="shared" si="6"/>
        <v>1 pihenő</v>
      </c>
    </row>
    <row r="154" spans="1:8" x14ac:dyDescent="0.25">
      <c r="A154" s="1">
        <v>37668</v>
      </c>
      <c r="B154">
        <v>482</v>
      </c>
      <c r="C154">
        <v>38.46</v>
      </c>
      <c r="D154">
        <v>9265</v>
      </c>
      <c r="E154" s="2" t="s">
        <v>12</v>
      </c>
      <c r="F154" s="2">
        <f t="shared" si="7"/>
        <v>240.8996359854394</v>
      </c>
      <c r="G154" s="2">
        <f t="shared" si="8"/>
        <v>7.9792531120331951</v>
      </c>
      <c r="H154" s="2" t="str">
        <f t="shared" si="6"/>
        <v>1 pihenő</v>
      </c>
    </row>
    <row r="155" spans="1:8" x14ac:dyDescent="0.25">
      <c r="A155" s="1">
        <v>37738</v>
      </c>
      <c r="B155">
        <v>474</v>
      </c>
      <c r="C155">
        <v>35.32</v>
      </c>
      <c r="D155">
        <v>7979</v>
      </c>
      <c r="E155" s="2" t="s">
        <v>25</v>
      </c>
      <c r="F155" s="2">
        <f t="shared" si="7"/>
        <v>225.90600226500567</v>
      </c>
      <c r="G155" s="2">
        <f t="shared" si="8"/>
        <v>7.4514767932489452</v>
      </c>
      <c r="H155" s="2" t="str">
        <f t="shared" si="6"/>
        <v>1 pihenő</v>
      </c>
    </row>
    <row r="156" spans="1:8" x14ac:dyDescent="0.25">
      <c r="A156" s="1">
        <v>37759</v>
      </c>
      <c r="B156">
        <v>640</v>
      </c>
      <c r="C156">
        <v>40.57</v>
      </c>
      <c r="D156">
        <v>9043</v>
      </c>
      <c r="E156" s="2" t="s">
        <v>11</v>
      </c>
      <c r="F156" s="2">
        <f t="shared" si="7"/>
        <v>222.89869361597241</v>
      </c>
      <c r="G156" s="2">
        <f t="shared" si="8"/>
        <v>6.3390625000000007</v>
      </c>
      <c r="H156" s="2" t="str">
        <f t="shared" si="6"/>
        <v>2 pihenő</v>
      </c>
    </row>
    <row r="157" spans="1:8" x14ac:dyDescent="0.25">
      <c r="A157" s="1">
        <v>37784</v>
      </c>
      <c r="B157">
        <v>541</v>
      </c>
      <c r="C157">
        <v>35.08</v>
      </c>
      <c r="D157">
        <v>7925</v>
      </c>
      <c r="E157" s="2" t="s">
        <v>11</v>
      </c>
      <c r="F157" s="2">
        <f t="shared" si="7"/>
        <v>225.91220068415052</v>
      </c>
      <c r="G157" s="2">
        <f t="shared" si="8"/>
        <v>6.4842883548983359</v>
      </c>
      <c r="H157" s="2" t="str">
        <f t="shared" si="6"/>
        <v>1 pihenő</v>
      </c>
    </row>
    <row r="158" spans="1:8" x14ac:dyDescent="0.25">
      <c r="A158" s="1">
        <v>37807</v>
      </c>
      <c r="B158">
        <v>609</v>
      </c>
      <c r="C158">
        <v>38.17</v>
      </c>
      <c r="D158">
        <v>8890</v>
      </c>
      <c r="E158" s="2" t="s">
        <v>8</v>
      </c>
      <c r="F158" s="2">
        <f t="shared" si="7"/>
        <v>232.90542310715222</v>
      </c>
      <c r="G158" s="2">
        <f t="shared" si="8"/>
        <v>6.2676518883415442</v>
      </c>
      <c r="H158" s="2" t="str">
        <f t="shared" si="6"/>
        <v>2 pihenő</v>
      </c>
    </row>
    <row r="159" spans="1:8" x14ac:dyDescent="0.25">
      <c r="A159" s="1">
        <v>37814</v>
      </c>
      <c r="B159">
        <v>215</v>
      </c>
      <c r="C159">
        <v>13.53</v>
      </c>
      <c r="D159">
        <v>3178</v>
      </c>
      <c r="E159" s="2" t="s">
        <v>26</v>
      </c>
      <c r="F159" s="2">
        <f t="shared" si="7"/>
        <v>234.88543976348856</v>
      </c>
      <c r="G159" s="2">
        <f t="shared" si="8"/>
        <v>6.2930232558139538</v>
      </c>
      <c r="H159" s="2" t="str">
        <f t="shared" si="6"/>
        <v/>
      </c>
    </row>
    <row r="160" spans="1:8" x14ac:dyDescent="0.25">
      <c r="A160" s="1">
        <v>37817</v>
      </c>
      <c r="B160">
        <v>604</v>
      </c>
      <c r="C160">
        <v>36.380000000000003</v>
      </c>
      <c r="D160">
        <v>8546</v>
      </c>
      <c r="E160" s="2" t="s">
        <v>27</v>
      </c>
      <c r="F160" s="2">
        <f t="shared" si="7"/>
        <v>234.90929081913137</v>
      </c>
      <c r="G160" s="2">
        <f t="shared" si="8"/>
        <v>6.0231788079470201</v>
      </c>
      <c r="H160" s="2" t="str">
        <f t="shared" si="6"/>
        <v>2 pihenő</v>
      </c>
    </row>
    <row r="161" spans="1:8" x14ac:dyDescent="0.25">
      <c r="A161" s="1">
        <v>37854</v>
      </c>
      <c r="B161">
        <v>714</v>
      </c>
      <c r="C161">
        <v>44.56</v>
      </c>
      <c r="D161">
        <v>10690</v>
      </c>
      <c r="E161" s="2" t="s">
        <v>21</v>
      </c>
      <c r="F161" s="2">
        <f t="shared" si="7"/>
        <v>239.90125673249551</v>
      </c>
      <c r="G161" s="2">
        <f t="shared" si="8"/>
        <v>6.2408963585434174</v>
      </c>
      <c r="H161" s="2" t="str">
        <f t="shared" si="6"/>
        <v>2 pihenő</v>
      </c>
    </row>
    <row r="162" spans="1:8" x14ac:dyDescent="0.25">
      <c r="A162" s="1">
        <v>37867</v>
      </c>
      <c r="B162">
        <v>583</v>
      </c>
      <c r="C162">
        <v>36.5</v>
      </c>
      <c r="D162">
        <v>8793</v>
      </c>
      <c r="E162" s="2" t="s">
        <v>28</v>
      </c>
      <c r="F162" s="2">
        <f t="shared" si="7"/>
        <v>240.9041095890411</v>
      </c>
      <c r="G162" s="2">
        <f t="shared" si="8"/>
        <v>6.2607204116638071</v>
      </c>
      <c r="H162" s="2" t="str">
        <f t="shared" si="6"/>
        <v>1 pihenő</v>
      </c>
    </row>
    <row r="163" spans="1:8" x14ac:dyDescent="0.25">
      <c r="A163" s="1">
        <v>37893</v>
      </c>
      <c r="B163">
        <v>551</v>
      </c>
      <c r="C163">
        <v>35.229999999999997</v>
      </c>
      <c r="D163">
        <v>8205</v>
      </c>
      <c r="E163" s="2" t="s">
        <v>28</v>
      </c>
      <c r="F163" s="2">
        <f t="shared" si="7"/>
        <v>232.89809821175137</v>
      </c>
      <c r="G163" s="2">
        <f t="shared" si="8"/>
        <v>6.3938294010889285</v>
      </c>
      <c r="H163" s="2" t="str">
        <f t="shared" si="6"/>
        <v>1 pihenő</v>
      </c>
    </row>
    <row r="164" spans="1:8" x14ac:dyDescent="0.25">
      <c r="A164" s="1">
        <v>37920</v>
      </c>
      <c r="B164">
        <v>507</v>
      </c>
      <c r="C164">
        <v>35</v>
      </c>
      <c r="D164">
        <v>8012</v>
      </c>
      <c r="E164" s="2" t="s">
        <v>22</v>
      </c>
      <c r="F164" s="2">
        <f t="shared" si="7"/>
        <v>228.91428571428571</v>
      </c>
      <c r="G164" s="2">
        <f t="shared" si="8"/>
        <v>6.9033530571992117</v>
      </c>
      <c r="H164" s="2" t="str">
        <f t="shared" si="6"/>
        <v>1 pihenő</v>
      </c>
    </row>
    <row r="165" spans="1:8" x14ac:dyDescent="0.25">
      <c r="A165" s="1">
        <v>37948</v>
      </c>
      <c r="B165">
        <v>563</v>
      </c>
      <c r="C165">
        <v>39.36</v>
      </c>
      <c r="D165">
        <v>9010</v>
      </c>
      <c r="E165" s="2" t="s">
        <v>29</v>
      </c>
      <c r="F165" s="2">
        <f t="shared" si="7"/>
        <v>228.91260162601625</v>
      </c>
      <c r="G165" s="2">
        <f t="shared" si="8"/>
        <v>6.9911190053285974</v>
      </c>
      <c r="H165" s="2" t="str">
        <f t="shared" si="6"/>
        <v>1 pihenő</v>
      </c>
    </row>
    <row r="166" spans="1:8" x14ac:dyDescent="0.25">
      <c r="A166" s="1">
        <v>37987</v>
      </c>
      <c r="B166">
        <v>550</v>
      </c>
      <c r="C166">
        <v>37.94</v>
      </c>
      <c r="D166">
        <v>8745</v>
      </c>
      <c r="E166" s="2" t="s">
        <v>30</v>
      </c>
      <c r="F166" s="2">
        <f t="shared" si="7"/>
        <v>230.4955192409067</v>
      </c>
      <c r="G166" s="2">
        <f t="shared" si="8"/>
        <v>6.8981818181818175</v>
      </c>
      <c r="H166" s="2" t="str">
        <f t="shared" si="6"/>
        <v>1 pihenő</v>
      </c>
    </row>
    <row r="167" spans="1:8" x14ac:dyDescent="0.25">
      <c r="A167" s="1">
        <v>38032</v>
      </c>
      <c r="B167">
        <v>542</v>
      </c>
      <c r="C167">
        <v>39.69</v>
      </c>
      <c r="D167">
        <v>9283</v>
      </c>
      <c r="E167" s="2" t="s">
        <v>30</v>
      </c>
      <c r="F167" s="2">
        <f t="shared" si="7"/>
        <v>233.88762912572437</v>
      </c>
      <c r="G167" s="2">
        <f t="shared" si="8"/>
        <v>7.3228782287822867</v>
      </c>
      <c r="H167" s="2" t="str">
        <f t="shared" si="6"/>
        <v>1 pihenő</v>
      </c>
    </row>
    <row r="168" spans="1:8" x14ac:dyDescent="0.25">
      <c r="A168" s="1">
        <v>38067</v>
      </c>
      <c r="B168">
        <v>502</v>
      </c>
      <c r="C168">
        <v>35.07</v>
      </c>
      <c r="D168">
        <v>8343</v>
      </c>
      <c r="E168" s="2" t="s">
        <v>28</v>
      </c>
      <c r="F168" s="2">
        <f t="shared" si="7"/>
        <v>237.89563729683491</v>
      </c>
      <c r="G168" s="2">
        <f t="shared" si="8"/>
        <v>6.9860557768924298</v>
      </c>
      <c r="H168" s="2" t="str">
        <f t="shared" si="6"/>
        <v>1 pihenő</v>
      </c>
    </row>
    <row r="169" spans="1:8" x14ac:dyDescent="0.25">
      <c r="A169" s="1">
        <v>38104</v>
      </c>
      <c r="B169">
        <v>579</v>
      </c>
      <c r="C169">
        <v>40.71</v>
      </c>
      <c r="D169">
        <v>9893</v>
      </c>
      <c r="E169" s="2" t="s">
        <v>31</v>
      </c>
      <c r="F169" s="2">
        <f t="shared" si="7"/>
        <v>243.01154507492015</v>
      </c>
      <c r="G169" s="2">
        <f t="shared" si="8"/>
        <v>7.0310880829015545</v>
      </c>
      <c r="H169" s="2" t="str">
        <f t="shared" si="6"/>
        <v>1 pihenő</v>
      </c>
    </row>
    <row r="170" spans="1:8" x14ac:dyDescent="0.25">
      <c r="A170" s="1">
        <v>38167</v>
      </c>
      <c r="B170">
        <v>592</v>
      </c>
      <c r="C170">
        <v>40.81</v>
      </c>
      <c r="D170">
        <v>10182</v>
      </c>
      <c r="E170" s="2" t="s">
        <v>8</v>
      </c>
      <c r="F170" s="2">
        <f t="shared" si="7"/>
        <v>249.49767213918156</v>
      </c>
      <c r="G170" s="2">
        <f t="shared" si="8"/>
        <v>6.8935810810810825</v>
      </c>
      <c r="H170" s="2" t="str">
        <f t="shared" si="6"/>
        <v>1 pihenő</v>
      </c>
    </row>
    <row r="171" spans="1:8" x14ac:dyDescent="0.25">
      <c r="A171" s="1">
        <v>38170</v>
      </c>
      <c r="B171">
        <v>500</v>
      </c>
      <c r="C171">
        <v>31.07</v>
      </c>
      <c r="D171">
        <v>6793</v>
      </c>
      <c r="E171" s="2" t="s">
        <v>8</v>
      </c>
      <c r="F171" s="2">
        <f t="shared" si="7"/>
        <v>218.63533955584165</v>
      </c>
      <c r="G171" s="2">
        <f t="shared" si="8"/>
        <v>6.2140000000000004</v>
      </c>
      <c r="H171" s="2" t="str">
        <f t="shared" si="6"/>
        <v>1 pihenő</v>
      </c>
    </row>
    <row r="172" spans="1:8" x14ac:dyDescent="0.25">
      <c r="A172" s="1">
        <v>38171</v>
      </c>
      <c r="B172">
        <v>130</v>
      </c>
      <c r="C172">
        <v>8.26</v>
      </c>
      <c r="D172">
        <v>1806</v>
      </c>
      <c r="E172" s="2" t="s">
        <v>8</v>
      </c>
      <c r="F172" s="2">
        <f t="shared" si="7"/>
        <v>218.64406779661019</v>
      </c>
      <c r="G172" s="2">
        <f t="shared" si="8"/>
        <v>6.3538461538461544</v>
      </c>
      <c r="H172" s="2" t="str">
        <f t="shared" si="6"/>
        <v/>
      </c>
    </row>
    <row r="173" spans="1:8" x14ac:dyDescent="0.25">
      <c r="A173" s="1">
        <v>38173</v>
      </c>
      <c r="B173">
        <v>310</v>
      </c>
      <c r="C173">
        <v>19.010000000000002</v>
      </c>
      <c r="D173">
        <v>4675</v>
      </c>
      <c r="E173" s="2" t="s">
        <v>8</v>
      </c>
      <c r="F173" s="2">
        <f t="shared" si="7"/>
        <v>245.92319831667541</v>
      </c>
      <c r="G173" s="2">
        <f t="shared" si="8"/>
        <v>6.1322580645161295</v>
      </c>
      <c r="H173" s="2" t="str">
        <f t="shared" si="6"/>
        <v>1 pihenő</v>
      </c>
    </row>
    <row r="174" spans="1:8" x14ac:dyDescent="0.25">
      <c r="A174" s="1">
        <v>38185</v>
      </c>
      <c r="B174">
        <v>615</v>
      </c>
      <c r="C174">
        <v>38.69</v>
      </c>
      <c r="D174">
        <v>9785</v>
      </c>
      <c r="E174" s="2" t="s">
        <v>18</v>
      </c>
      <c r="F174" s="2">
        <f t="shared" si="7"/>
        <v>252.90772809511503</v>
      </c>
      <c r="G174" s="2">
        <f t="shared" si="8"/>
        <v>6.2910569105691057</v>
      </c>
      <c r="H174" s="2" t="str">
        <f t="shared" si="6"/>
        <v>2 pihenő</v>
      </c>
    </row>
    <row r="175" spans="1:8" x14ac:dyDescent="0.25">
      <c r="A175" s="1">
        <v>38191</v>
      </c>
      <c r="B175">
        <v>601</v>
      </c>
      <c r="C175">
        <v>36.840000000000003</v>
      </c>
      <c r="D175">
        <v>9243</v>
      </c>
      <c r="E175" s="2" t="s">
        <v>32</v>
      </c>
      <c r="F175" s="2">
        <f t="shared" si="7"/>
        <v>250.89576547231269</v>
      </c>
      <c r="G175" s="2">
        <f t="shared" si="8"/>
        <v>6.1297836938435948</v>
      </c>
      <c r="H175" s="2" t="str">
        <f t="shared" si="6"/>
        <v>2 pihenő</v>
      </c>
    </row>
    <row r="176" spans="1:8" x14ac:dyDescent="0.25">
      <c r="A176" s="1">
        <v>38208</v>
      </c>
      <c r="B176">
        <v>659</v>
      </c>
      <c r="C176">
        <v>41.64</v>
      </c>
      <c r="D176">
        <v>10364</v>
      </c>
      <c r="E176" s="2" t="s">
        <v>28</v>
      </c>
      <c r="F176" s="2">
        <f t="shared" si="7"/>
        <v>248.89529298751199</v>
      </c>
      <c r="G176" s="2">
        <f t="shared" si="8"/>
        <v>6.3186646433990896</v>
      </c>
      <c r="H176" s="2" t="str">
        <f t="shared" si="6"/>
        <v>2 pihenő</v>
      </c>
    </row>
    <row r="177" spans="1:8" x14ac:dyDescent="0.25">
      <c r="A177" s="1">
        <v>38222</v>
      </c>
      <c r="B177">
        <v>582</v>
      </c>
      <c r="C177">
        <v>37.18</v>
      </c>
      <c r="D177">
        <v>9259</v>
      </c>
      <c r="E177" s="2" t="s">
        <v>31</v>
      </c>
      <c r="F177" s="2">
        <f t="shared" si="7"/>
        <v>249.03173749327595</v>
      </c>
      <c r="G177" s="2">
        <f t="shared" si="8"/>
        <v>6.3883161512027495</v>
      </c>
      <c r="H177" s="2" t="str">
        <f t="shared" si="6"/>
        <v>1 pihenő</v>
      </c>
    </row>
    <row r="178" spans="1:8" x14ac:dyDescent="0.25">
      <c r="A178" s="1">
        <v>38236</v>
      </c>
      <c r="B178">
        <v>577</v>
      </c>
      <c r="C178">
        <v>41.26</v>
      </c>
      <c r="D178">
        <v>10233</v>
      </c>
      <c r="E178" s="2" t="s">
        <v>31</v>
      </c>
      <c r="F178" s="2">
        <f t="shared" si="7"/>
        <v>248.01260300533204</v>
      </c>
      <c r="G178" s="2">
        <f t="shared" si="8"/>
        <v>7.1507798960138649</v>
      </c>
      <c r="H178" s="2" t="str">
        <f t="shared" si="6"/>
        <v>1 pihenő</v>
      </c>
    </row>
    <row r="179" spans="1:8" x14ac:dyDescent="0.25">
      <c r="A179" s="1">
        <v>38250</v>
      </c>
      <c r="B179">
        <v>565</v>
      </c>
      <c r="C179">
        <v>40.799999999999997</v>
      </c>
      <c r="D179">
        <v>10196</v>
      </c>
      <c r="E179" s="2" t="s">
        <v>32</v>
      </c>
      <c r="F179" s="2">
        <f t="shared" si="7"/>
        <v>249.90196078431373</v>
      </c>
      <c r="G179" s="2">
        <f t="shared" si="8"/>
        <v>7.221238938053097</v>
      </c>
      <c r="H179" s="2" t="str">
        <f t="shared" si="6"/>
        <v>1 pihenő</v>
      </c>
    </row>
    <row r="180" spans="1:8" x14ac:dyDescent="0.25">
      <c r="A180" s="1">
        <v>38261</v>
      </c>
      <c r="B180">
        <v>565</v>
      </c>
      <c r="C180">
        <v>39.9</v>
      </c>
      <c r="D180">
        <v>9896</v>
      </c>
      <c r="E180" s="2" t="s">
        <v>31</v>
      </c>
      <c r="F180" s="2">
        <f t="shared" si="7"/>
        <v>248.0200501253133</v>
      </c>
      <c r="G180" s="2">
        <f t="shared" si="8"/>
        <v>7.0619469026548671</v>
      </c>
      <c r="H180" s="2" t="str">
        <f t="shared" si="6"/>
        <v>1 pihenő</v>
      </c>
    </row>
    <row r="181" spans="1:8" x14ac:dyDescent="0.25">
      <c r="A181" s="1">
        <v>38274</v>
      </c>
      <c r="B181">
        <v>592</v>
      </c>
      <c r="C181">
        <v>42.28</v>
      </c>
      <c r="D181">
        <v>10693</v>
      </c>
      <c r="E181" s="2" t="s">
        <v>28</v>
      </c>
      <c r="F181" s="2">
        <f t="shared" si="7"/>
        <v>252.90917691579943</v>
      </c>
      <c r="G181" s="2">
        <f t="shared" si="8"/>
        <v>7.1418918918918921</v>
      </c>
      <c r="H181" s="2" t="str">
        <f t="shared" si="6"/>
        <v>1 pihenő</v>
      </c>
    </row>
    <row r="182" spans="1:8" x14ac:dyDescent="0.25">
      <c r="A182" s="1">
        <v>38286</v>
      </c>
      <c r="B182">
        <v>542</v>
      </c>
      <c r="C182">
        <v>39.979999999999997</v>
      </c>
      <c r="D182">
        <v>10196</v>
      </c>
      <c r="E182" s="2" t="s">
        <v>31</v>
      </c>
      <c r="F182" s="2">
        <f t="shared" si="7"/>
        <v>255.02751375687845</v>
      </c>
      <c r="G182" s="2">
        <f t="shared" si="8"/>
        <v>7.3763837638376382</v>
      </c>
      <c r="H182" s="2" t="str">
        <f t="shared" si="6"/>
        <v>1 pihenő</v>
      </c>
    </row>
    <row r="183" spans="1:8" x14ac:dyDescent="0.25">
      <c r="A183" s="1">
        <v>38299</v>
      </c>
      <c r="B183">
        <v>578</v>
      </c>
      <c r="C183">
        <v>42.86</v>
      </c>
      <c r="D183">
        <v>10630</v>
      </c>
      <c r="E183" s="2" t="s">
        <v>31</v>
      </c>
      <c r="F183" s="2">
        <f t="shared" si="7"/>
        <v>248.01679888007467</v>
      </c>
      <c r="G183" s="2">
        <f t="shared" si="8"/>
        <v>7.4152249134948098</v>
      </c>
      <c r="H183" s="2" t="str">
        <f t="shared" si="6"/>
        <v>1 pihenő</v>
      </c>
    </row>
    <row r="184" spans="1:8" x14ac:dyDescent="0.25">
      <c r="A184" s="1">
        <v>38314</v>
      </c>
      <c r="B184">
        <v>556</v>
      </c>
      <c r="C184">
        <v>42.34</v>
      </c>
      <c r="D184">
        <v>10247</v>
      </c>
      <c r="E184" s="2" t="s">
        <v>31</v>
      </c>
      <c r="F184" s="2">
        <f t="shared" si="7"/>
        <v>242.0170051960321</v>
      </c>
      <c r="G184" s="2">
        <f t="shared" si="8"/>
        <v>7.6151079136690658</v>
      </c>
      <c r="H184" s="2" t="str">
        <f t="shared" si="6"/>
        <v>1 pihenő</v>
      </c>
    </row>
    <row r="185" spans="1:8" x14ac:dyDescent="0.25">
      <c r="A185" s="1">
        <v>38327</v>
      </c>
      <c r="B185">
        <v>557</v>
      </c>
      <c r="C185">
        <v>42.92</v>
      </c>
      <c r="D185">
        <v>10468</v>
      </c>
      <c r="E185" s="2" t="s">
        <v>33</v>
      </c>
      <c r="F185" s="2">
        <f t="shared" si="7"/>
        <v>243.89561975768871</v>
      </c>
      <c r="G185" s="2">
        <f t="shared" si="8"/>
        <v>7.7055655296229801</v>
      </c>
      <c r="H185" s="2" t="str">
        <f t="shared" si="6"/>
        <v>1 pihenő</v>
      </c>
    </row>
    <row r="186" spans="1:8" x14ac:dyDescent="0.25">
      <c r="A186" s="1">
        <v>38337</v>
      </c>
      <c r="B186">
        <v>560</v>
      </c>
      <c r="C186">
        <v>43.38</v>
      </c>
      <c r="D186">
        <v>10060</v>
      </c>
      <c r="E186" s="2" t="s">
        <v>28</v>
      </c>
      <c r="F186" s="2">
        <f t="shared" si="7"/>
        <v>231.90410327339788</v>
      </c>
      <c r="G186" s="2">
        <f t="shared" si="8"/>
        <v>7.7464285714285719</v>
      </c>
      <c r="H186" s="2" t="str">
        <f t="shared" si="6"/>
        <v>1 pihenő</v>
      </c>
    </row>
    <row r="187" spans="1:8" x14ac:dyDescent="0.25">
      <c r="A187" s="1">
        <v>38352</v>
      </c>
      <c r="B187">
        <v>526</v>
      </c>
      <c r="C187">
        <v>38.729999999999997</v>
      </c>
      <c r="D187">
        <v>9059</v>
      </c>
      <c r="E187" s="2" t="s">
        <v>34</v>
      </c>
      <c r="F187" s="2">
        <f t="shared" si="7"/>
        <v>233.90136844823135</v>
      </c>
      <c r="G187" s="2">
        <f t="shared" si="8"/>
        <v>7.3631178707224327</v>
      </c>
      <c r="H187" s="2" t="str">
        <f t="shared" si="6"/>
        <v>1 pihenő</v>
      </c>
    </row>
    <row r="188" spans="1:8" x14ac:dyDescent="0.25">
      <c r="A188" s="1">
        <v>38369</v>
      </c>
      <c r="B188">
        <v>563</v>
      </c>
      <c r="C188">
        <v>43.65</v>
      </c>
      <c r="D188">
        <v>10258</v>
      </c>
      <c r="E188" s="2" t="s">
        <v>31</v>
      </c>
      <c r="F188" s="2">
        <f t="shared" si="7"/>
        <v>235.00572737686142</v>
      </c>
      <c r="G188" s="2">
        <f t="shared" si="8"/>
        <v>7.7531083481349903</v>
      </c>
      <c r="H188" s="2" t="str">
        <f t="shared" si="6"/>
        <v>1 pihenő</v>
      </c>
    </row>
    <row r="189" spans="1:8" x14ac:dyDescent="0.25">
      <c r="A189" s="1">
        <v>38379</v>
      </c>
      <c r="B189">
        <v>446</v>
      </c>
      <c r="C189">
        <v>33.71</v>
      </c>
      <c r="D189">
        <v>7787</v>
      </c>
      <c r="E189" s="2" t="s">
        <v>35</v>
      </c>
      <c r="F189" s="2">
        <f t="shared" si="7"/>
        <v>230.99970335212103</v>
      </c>
      <c r="G189" s="2">
        <f t="shared" si="8"/>
        <v>7.5582959641255609</v>
      </c>
      <c r="H189" s="2" t="str">
        <f t="shared" si="6"/>
        <v>1 pihenő</v>
      </c>
    </row>
    <row r="190" spans="1:8" x14ac:dyDescent="0.25">
      <c r="A190" s="1">
        <v>38386</v>
      </c>
      <c r="B190">
        <v>568</v>
      </c>
      <c r="C190">
        <v>41.23</v>
      </c>
      <c r="D190">
        <v>9891</v>
      </c>
      <c r="E190" s="2" t="s">
        <v>28</v>
      </c>
      <c r="F190" s="2">
        <f t="shared" si="7"/>
        <v>239.89813242784382</v>
      </c>
      <c r="G190" s="2">
        <f t="shared" si="8"/>
        <v>7.2588028169014081</v>
      </c>
      <c r="H190" s="2" t="str">
        <f t="shared" si="6"/>
        <v>1 pihenő</v>
      </c>
    </row>
    <row r="191" spans="1:8" x14ac:dyDescent="0.25">
      <c r="A191" s="1">
        <v>38399</v>
      </c>
      <c r="B191">
        <v>527</v>
      </c>
      <c r="C191">
        <v>39.44</v>
      </c>
      <c r="D191">
        <v>9466</v>
      </c>
      <c r="E191" s="2" t="s">
        <v>31</v>
      </c>
      <c r="F191" s="2">
        <f t="shared" si="7"/>
        <v>240.01014198782963</v>
      </c>
      <c r="G191" s="2">
        <f t="shared" si="8"/>
        <v>7.4838709677419342</v>
      </c>
      <c r="H191" s="2" t="str">
        <f t="shared" si="6"/>
        <v>1 pihenő</v>
      </c>
    </row>
    <row r="192" spans="1:8" x14ac:dyDescent="0.25">
      <c r="A192" s="1">
        <v>38412</v>
      </c>
      <c r="B192">
        <v>497</v>
      </c>
      <c r="C192">
        <v>41.55</v>
      </c>
      <c r="D192">
        <v>9764</v>
      </c>
      <c r="E192" s="2" t="s">
        <v>36</v>
      </c>
      <c r="F192" s="2">
        <f t="shared" si="7"/>
        <v>234.99398315282792</v>
      </c>
      <c r="G192" s="2">
        <f t="shared" si="8"/>
        <v>8.3601609657947673</v>
      </c>
      <c r="H192" s="2" t="str">
        <f t="shared" si="6"/>
        <v>1 pihenő</v>
      </c>
    </row>
    <row r="193" spans="1:8" x14ac:dyDescent="0.25">
      <c r="A193" s="1">
        <v>38421</v>
      </c>
      <c r="B193">
        <v>557</v>
      </c>
      <c r="C193">
        <v>42.93</v>
      </c>
      <c r="D193">
        <v>10514</v>
      </c>
      <c r="E193" s="2" t="s">
        <v>28</v>
      </c>
      <c r="F193" s="2">
        <f t="shared" si="7"/>
        <v>244.91031912415559</v>
      </c>
      <c r="G193" s="2">
        <f t="shared" si="8"/>
        <v>7.7073608617594251</v>
      </c>
      <c r="H193" s="2" t="str">
        <f t="shared" si="6"/>
        <v>1 pihenő</v>
      </c>
    </row>
    <row r="194" spans="1:8" x14ac:dyDescent="0.25">
      <c r="A194" s="1">
        <v>38434</v>
      </c>
      <c r="B194">
        <v>550</v>
      </c>
      <c r="C194">
        <v>40.51</v>
      </c>
      <c r="D194">
        <v>9926</v>
      </c>
      <c r="E194" s="2" t="s">
        <v>31</v>
      </c>
      <c r="F194" s="2">
        <f t="shared" si="7"/>
        <v>245.02591952604297</v>
      </c>
      <c r="G194" s="2">
        <f t="shared" si="8"/>
        <v>7.3654545454545444</v>
      </c>
      <c r="H194" s="2" t="str">
        <f t="shared" ref="H194:H257" si="9">IF(B194&lt;600,IF(B194&lt;300,"","1 pihenő"),"2 pihenő")</f>
        <v>1 pihenő</v>
      </c>
    </row>
    <row r="195" spans="1:8" x14ac:dyDescent="0.25">
      <c r="A195" s="1">
        <v>38446</v>
      </c>
      <c r="B195">
        <v>566</v>
      </c>
      <c r="C195">
        <v>41.42</v>
      </c>
      <c r="D195">
        <v>10517</v>
      </c>
      <c r="E195" s="2" t="s">
        <v>34</v>
      </c>
      <c r="F195" s="2">
        <f t="shared" ref="F195:F258" si="10">D195/C195</f>
        <v>253.91115403186865</v>
      </c>
      <c r="G195" s="2">
        <f t="shared" ref="G195:G258" si="11">C195/B195*100</f>
        <v>7.3180212014134289</v>
      </c>
      <c r="H195" s="2" t="str">
        <f t="shared" si="9"/>
        <v>1 pihenő</v>
      </c>
    </row>
    <row r="196" spans="1:8" x14ac:dyDescent="0.25">
      <c r="A196" s="1">
        <v>38457</v>
      </c>
      <c r="B196">
        <v>582</v>
      </c>
      <c r="C196">
        <v>42.24</v>
      </c>
      <c r="D196">
        <v>10983</v>
      </c>
      <c r="E196" s="2" t="s">
        <v>31</v>
      </c>
      <c r="F196" s="2">
        <f t="shared" si="10"/>
        <v>260.01420454545456</v>
      </c>
      <c r="G196" s="2">
        <f t="shared" si="11"/>
        <v>7.2577319587628866</v>
      </c>
      <c r="H196" s="2" t="str">
        <f t="shared" si="9"/>
        <v>1 pihenő</v>
      </c>
    </row>
    <row r="197" spans="1:8" x14ac:dyDescent="0.25">
      <c r="A197" s="1">
        <v>38468</v>
      </c>
      <c r="B197">
        <v>619</v>
      </c>
      <c r="C197">
        <v>43.13</v>
      </c>
      <c r="D197">
        <v>11128</v>
      </c>
      <c r="E197" s="2" t="s">
        <v>31</v>
      </c>
      <c r="F197" s="2">
        <f t="shared" si="10"/>
        <v>258.01066543009506</v>
      </c>
      <c r="G197" s="2">
        <f t="shared" si="11"/>
        <v>6.967689822294024</v>
      </c>
      <c r="H197" s="2" t="str">
        <f t="shared" si="9"/>
        <v>2 pihenő</v>
      </c>
    </row>
    <row r="198" spans="1:8" x14ac:dyDescent="0.25">
      <c r="A198" s="1">
        <v>38478</v>
      </c>
      <c r="B198">
        <v>513</v>
      </c>
      <c r="C198">
        <v>37.46</v>
      </c>
      <c r="D198">
        <v>9664</v>
      </c>
      <c r="E198" s="2" t="s">
        <v>31</v>
      </c>
      <c r="F198" s="2">
        <f t="shared" si="10"/>
        <v>257.98184730379069</v>
      </c>
      <c r="G198" s="2">
        <f t="shared" si="11"/>
        <v>7.3021442495126712</v>
      </c>
      <c r="H198" s="2" t="str">
        <f t="shared" si="9"/>
        <v>1 pihenő</v>
      </c>
    </row>
    <row r="199" spans="1:8" x14ac:dyDescent="0.25">
      <c r="A199" s="1">
        <v>38489</v>
      </c>
      <c r="B199">
        <v>602</v>
      </c>
      <c r="C199">
        <v>40.61</v>
      </c>
      <c r="D199">
        <v>10397</v>
      </c>
      <c r="E199" s="2" t="s">
        <v>31</v>
      </c>
      <c r="F199" s="2">
        <f t="shared" si="10"/>
        <v>256.02068456045311</v>
      </c>
      <c r="G199" s="2">
        <f t="shared" si="11"/>
        <v>6.7458471760797352</v>
      </c>
      <c r="H199" s="2" t="str">
        <f t="shared" si="9"/>
        <v>2 pihenő</v>
      </c>
    </row>
    <row r="200" spans="1:8" x14ac:dyDescent="0.25">
      <c r="A200" s="1">
        <v>38499</v>
      </c>
      <c r="B200">
        <v>542</v>
      </c>
      <c r="C200">
        <v>39.64</v>
      </c>
      <c r="D200">
        <v>10144</v>
      </c>
      <c r="E200" s="2" t="s">
        <v>28</v>
      </c>
      <c r="F200" s="2">
        <f t="shared" si="10"/>
        <v>255.90312815338041</v>
      </c>
      <c r="G200" s="2">
        <f t="shared" si="11"/>
        <v>7.3136531365313662</v>
      </c>
      <c r="H200" s="2" t="str">
        <f t="shared" si="9"/>
        <v>1 pihenő</v>
      </c>
    </row>
    <row r="201" spans="1:8" x14ac:dyDescent="0.25">
      <c r="A201" s="1">
        <v>38508</v>
      </c>
      <c r="B201">
        <v>578</v>
      </c>
      <c r="C201">
        <v>38.770000000000003</v>
      </c>
      <c r="D201">
        <v>9999</v>
      </c>
      <c r="E201" s="2" t="s">
        <v>28</v>
      </c>
      <c r="F201" s="2">
        <f t="shared" si="10"/>
        <v>257.90559711116839</v>
      </c>
      <c r="G201" s="2">
        <f t="shared" si="11"/>
        <v>6.7076124567474054</v>
      </c>
      <c r="H201" s="2" t="str">
        <f t="shared" si="9"/>
        <v>1 pihenő</v>
      </c>
    </row>
    <row r="202" spans="1:8" x14ac:dyDescent="0.25">
      <c r="A202" s="1">
        <v>38519</v>
      </c>
      <c r="B202">
        <v>585</v>
      </c>
      <c r="C202">
        <v>45.07</v>
      </c>
      <c r="D202">
        <v>11714</v>
      </c>
      <c r="E202" s="2" t="s">
        <v>25</v>
      </c>
      <c r="F202" s="2">
        <f t="shared" si="10"/>
        <v>259.906811626359</v>
      </c>
      <c r="G202" s="2">
        <f t="shared" si="11"/>
        <v>7.7042735042735035</v>
      </c>
      <c r="H202" s="2" t="str">
        <f t="shared" si="9"/>
        <v>1 pihenő</v>
      </c>
    </row>
    <row r="203" spans="1:8" x14ac:dyDescent="0.25">
      <c r="A203" s="1">
        <v>38536</v>
      </c>
      <c r="B203">
        <v>578</v>
      </c>
      <c r="C203">
        <v>39.1</v>
      </c>
      <c r="D203">
        <v>10318</v>
      </c>
      <c r="E203" s="2" t="s">
        <v>28</v>
      </c>
      <c r="F203" s="2">
        <f t="shared" si="10"/>
        <v>263.88746803069051</v>
      </c>
      <c r="G203" s="2">
        <f t="shared" si="11"/>
        <v>6.7647058823529411</v>
      </c>
      <c r="H203" s="2" t="str">
        <f t="shared" si="9"/>
        <v>1 pihenő</v>
      </c>
    </row>
    <row r="204" spans="1:8" x14ac:dyDescent="0.25">
      <c r="A204" s="1">
        <v>38548</v>
      </c>
      <c r="B204">
        <v>552</v>
      </c>
      <c r="C204">
        <v>36.770000000000003</v>
      </c>
      <c r="D204">
        <v>10148</v>
      </c>
      <c r="E204" s="2" t="s">
        <v>31</v>
      </c>
      <c r="F204" s="2">
        <f t="shared" si="10"/>
        <v>275.98585803644272</v>
      </c>
      <c r="G204" s="2">
        <f t="shared" si="11"/>
        <v>6.6612318840579725</v>
      </c>
      <c r="H204" s="2" t="str">
        <f t="shared" si="9"/>
        <v>1 pihenő</v>
      </c>
    </row>
    <row r="205" spans="1:8" x14ac:dyDescent="0.25">
      <c r="A205" s="1">
        <v>38551</v>
      </c>
      <c r="B205">
        <v>326</v>
      </c>
      <c r="C205">
        <v>19.34</v>
      </c>
      <c r="D205">
        <v>4834</v>
      </c>
      <c r="E205" s="2" t="s">
        <v>37</v>
      </c>
      <c r="F205" s="2">
        <f t="shared" si="10"/>
        <v>249.9482936918304</v>
      </c>
      <c r="G205" s="2">
        <f t="shared" si="11"/>
        <v>5.9325153374233128</v>
      </c>
      <c r="H205" s="2" t="str">
        <f t="shared" si="9"/>
        <v>1 pihenő</v>
      </c>
    </row>
    <row r="206" spans="1:8" x14ac:dyDescent="0.25">
      <c r="A206" s="1">
        <v>38552</v>
      </c>
      <c r="B206">
        <v>406</v>
      </c>
      <c r="C206">
        <v>21.44</v>
      </c>
      <c r="D206">
        <v>5895</v>
      </c>
      <c r="E206" s="2" t="s">
        <v>38</v>
      </c>
      <c r="F206" s="2">
        <f t="shared" si="10"/>
        <v>274.95335820895519</v>
      </c>
      <c r="G206" s="2">
        <f t="shared" si="11"/>
        <v>5.2807881773399021</v>
      </c>
      <c r="H206" s="2" t="str">
        <f t="shared" si="9"/>
        <v>1 pihenő</v>
      </c>
    </row>
    <row r="207" spans="1:8" x14ac:dyDescent="0.25">
      <c r="A207" s="1">
        <v>38555</v>
      </c>
      <c r="B207">
        <v>376</v>
      </c>
      <c r="C207">
        <v>22.99</v>
      </c>
      <c r="D207">
        <v>5593</v>
      </c>
      <c r="E207" s="2" t="s">
        <v>39</v>
      </c>
      <c r="F207" s="2">
        <f t="shared" si="10"/>
        <v>243.27968682035669</v>
      </c>
      <c r="G207" s="2">
        <f t="shared" si="11"/>
        <v>6.1143617021276588</v>
      </c>
      <c r="H207" s="2" t="str">
        <f t="shared" si="9"/>
        <v>1 pihenő</v>
      </c>
    </row>
    <row r="208" spans="1:8" x14ac:dyDescent="0.25">
      <c r="A208" s="1">
        <v>38558</v>
      </c>
      <c r="B208">
        <v>507</v>
      </c>
      <c r="C208">
        <v>29.73</v>
      </c>
      <c r="D208">
        <v>7200</v>
      </c>
      <c r="E208" s="2" t="s">
        <v>38</v>
      </c>
      <c r="F208" s="2">
        <f t="shared" si="10"/>
        <v>242.17961654894046</v>
      </c>
      <c r="G208" s="2">
        <f t="shared" si="11"/>
        <v>5.8639053254437874</v>
      </c>
      <c r="H208" s="2" t="str">
        <f t="shared" si="9"/>
        <v>1 pihenő</v>
      </c>
    </row>
    <row r="209" spans="1:8" x14ac:dyDescent="0.25">
      <c r="A209" s="1">
        <v>38561</v>
      </c>
      <c r="B209">
        <v>457</v>
      </c>
      <c r="C209">
        <v>25.8</v>
      </c>
      <c r="D209">
        <v>6295</v>
      </c>
      <c r="E209" s="2" t="s">
        <v>37</v>
      </c>
      <c r="F209" s="2">
        <f t="shared" si="10"/>
        <v>243.99224806201551</v>
      </c>
      <c r="G209" s="2">
        <f t="shared" si="11"/>
        <v>5.6455142231947484</v>
      </c>
      <c r="H209" s="2" t="str">
        <f t="shared" si="9"/>
        <v>1 pihenő</v>
      </c>
    </row>
    <row r="210" spans="1:8" x14ac:dyDescent="0.25">
      <c r="A210" s="1">
        <v>38574</v>
      </c>
      <c r="B210">
        <v>673</v>
      </c>
      <c r="C210">
        <v>44.72</v>
      </c>
      <c r="D210">
        <v>12252</v>
      </c>
      <c r="E210" s="2" t="s">
        <v>31</v>
      </c>
      <c r="F210" s="2">
        <f t="shared" si="10"/>
        <v>273.97137745974953</v>
      </c>
      <c r="G210" s="2">
        <f t="shared" si="11"/>
        <v>6.6448736998514111</v>
      </c>
      <c r="H210" s="2" t="str">
        <f t="shared" si="9"/>
        <v>2 pihenő</v>
      </c>
    </row>
    <row r="211" spans="1:8" x14ac:dyDescent="0.25">
      <c r="A211" s="1">
        <v>38589</v>
      </c>
      <c r="B211">
        <v>629</v>
      </c>
      <c r="C211">
        <v>39</v>
      </c>
      <c r="D211">
        <v>10667</v>
      </c>
      <c r="E211" s="2" t="s">
        <v>40</v>
      </c>
      <c r="F211" s="2">
        <f t="shared" si="10"/>
        <v>273.5128205128205</v>
      </c>
      <c r="G211" s="2">
        <f t="shared" si="11"/>
        <v>6.2003179650238476</v>
      </c>
      <c r="H211" s="2" t="str">
        <f t="shared" si="9"/>
        <v>2 pihenő</v>
      </c>
    </row>
    <row r="212" spans="1:8" x14ac:dyDescent="0.25">
      <c r="A212" s="1">
        <v>38602</v>
      </c>
      <c r="B212">
        <v>556</v>
      </c>
      <c r="C212">
        <v>40.98</v>
      </c>
      <c r="D212">
        <v>11637</v>
      </c>
      <c r="E212" s="2" t="s">
        <v>31</v>
      </c>
      <c r="F212" s="2">
        <f t="shared" si="10"/>
        <v>283.96778916544656</v>
      </c>
      <c r="G212" s="2">
        <f t="shared" si="11"/>
        <v>7.3705035971223021</v>
      </c>
      <c r="H212" s="2" t="str">
        <f t="shared" si="9"/>
        <v>1 pihenő</v>
      </c>
    </row>
    <row r="213" spans="1:8" x14ac:dyDescent="0.25">
      <c r="A213" s="1">
        <v>38611</v>
      </c>
      <c r="B213">
        <v>557</v>
      </c>
      <c r="C213">
        <v>38.29</v>
      </c>
      <c r="D213">
        <v>11100</v>
      </c>
      <c r="E213" s="2" t="s">
        <v>28</v>
      </c>
      <c r="F213" s="2">
        <f t="shared" si="10"/>
        <v>289.89292243405589</v>
      </c>
      <c r="G213" s="2">
        <f t="shared" si="11"/>
        <v>6.8743267504488319</v>
      </c>
      <c r="H213" s="2" t="str">
        <f t="shared" si="9"/>
        <v>1 pihenő</v>
      </c>
    </row>
    <row r="214" spans="1:8" x14ac:dyDescent="0.25">
      <c r="A214" s="1">
        <v>38621</v>
      </c>
      <c r="B214">
        <v>516</v>
      </c>
      <c r="C214">
        <v>39.4</v>
      </c>
      <c r="D214">
        <v>11149</v>
      </c>
      <c r="E214" s="2" t="s">
        <v>31</v>
      </c>
      <c r="F214" s="2">
        <f t="shared" si="10"/>
        <v>282.96954314720813</v>
      </c>
      <c r="G214" s="2">
        <f t="shared" si="11"/>
        <v>7.6356589147286824</v>
      </c>
      <c r="H214" s="2" t="str">
        <f t="shared" si="9"/>
        <v>1 pihenő</v>
      </c>
    </row>
    <row r="215" spans="1:8" x14ac:dyDescent="0.25">
      <c r="A215" s="1">
        <v>38632</v>
      </c>
      <c r="B215">
        <v>610</v>
      </c>
      <c r="C215">
        <v>43.58</v>
      </c>
      <c r="D215">
        <v>11898</v>
      </c>
      <c r="E215" s="2" t="s">
        <v>31</v>
      </c>
      <c r="F215" s="2">
        <f t="shared" si="10"/>
        <v>273.01514456172555</v>
      </c>
      <c r="G215" s="2">
        <f t="shared" si="11"/>
        <v>7.1442622950819672</v>
      </c>
      <c r="H215" s="2" t="str">
        <f t="shared" si="9"/>
        <v>2 pihenő</v>
      </c>
    </row>
    <row r="216" spans="1:8" x14ac:dyDescent="0.25">
      <c r="A216" s="1">
        <v>38645</v>
      </c>
      <c r="B216">
        <v>533</v>
      </c>
      <c r="C216">
        <v>41.93</v>
      </c>
      <c r="D216">
        <v>11191</v>
      </c>
      <c r="E216" s="2" t="s">
        <v>34</v>
      </c>
      <c r="F216" s="2">
        <f t="shared" si="10"/>
        <v>266.89720963510615</v>
      </c>
      <c r="G216" s="2">
        <f t="shared" si="11"/>
        <v>7.8667917448405245</v>
      </c>
      <c r="H216" s="2" t="str">
        <f t="shared" si="9"/>
        <v>1 pihenő</v>
      </c>
    </row>
    <row r="217" spans="1:8" x14ac:dyDescent="0.25">
      <c r="A217" s="1">
        <v>38653</v>
      </c>
      <c r="B217">
        <v>600</v>
      </c>
      <c r="C217">
        <v>43.77</v>
      </c>
      <c r="D217">
        <v>11463</v>
      </c>
      <c r="E217" s="2" t="s">
        <v>34</v>
      </c>
      <c r="F217" s="2">
        <f t="shared" si="10"/>
        <v>261.89170664838929</v>
      </c>
      <c r="G217" s="2">
        <f t="shared" si="11"/>
        <v>7.2949999999999999</v>
      </c>
      <c r="H217" s="2" t="str">
        <f t="shared" si="9"/>
        <v>2 pihenő</v>
      </c>
    </row>
    <row r="218" spans="1:8" x14ac:dyDescent="0.25">
      <c r="A218" s="1">
        <v>38665</v>
      </c>
      <c r="B218">
        <v>515</v>
      </c>
      <c r="C218">
        <v>37.18</v>
      </c>
      <c r="D218">
        <v>9626</v>
      </c>
      <c r="E218" s="2" t="s">
        <v>34</v>
      </c>
      <c r="F218" s="2">
        <f t="shared" si="10"/>
        <v>258.90263582571276</v>
      </c>
      <c r="G218" s="2">
        <f t="shared" si="11"/>
        <v>7.2194174757281555</v>
      </c>
      <c r="H218" s="2" t="str">
        <f t="shared" si="9"/>
        <v>1 pihenő</v>
      </c>
    </row>
    <row r="219" spans="1:8" x14ac:dyDescent="0.25">
      <c r="A219" s="1">
        <v>38675</v>
      </c>
      <c r="B219">
        <v>611</v>
      </c>
      <c r="C219">
        <v>46.6</v>
      </c>
      <c r="D219">
        <v>11925</v>
      </c>
      <c r="E219" s="2" t="s">
        <v>34</v>
      </c>
      <c r="F219" s="2">
        <f t="shared" si="10"/>
        <v>255.90128755364807</v>
      </c>
      <c r="G219" s="2">
        <f t="shared" si="11"/>
        <v>7.626841243862521</v>
      </c>
      <c r="H219" s="2" t="str">
        <f t="shared" si="9"/>
        <v>2 pihenő</v>
      </c>
    </row>
    <row r="220" spans="1:8" x14ac:dyDescent="0.25">
      <c r="A220" s="1">
        <v>38685</v>
      </c>
      <c r="B220">
        <v>607</v>
      </c>
      <c r="C220">
        <v>44.68</v>
      </c>
      <c r="D220">
        <v>11344</v>
      </c>
      <c r="E220" s="2" t="s">
        <v>34</v>
      </c>
      <c r="F220" s="2">
        <f t="shared" si="10"/>
        <v>253.89435989256938</v>
      </c>
      <c r="G220" s="2">
        <f t="shared" si="11"/>
        <v>7.3607907742998355</v>
      </c>
      <c r="H220" s="2" t="str">
        <f t="shared" si="9"/>
        <v>2 pihenő</v>
      </c>
    </row>
    <row r="221" spans="1:8" x14ac:dyDescent="0.25">
      <c r="A221" s="1">
        <v>38694</v>
      </c>
      <c r="B221">
        <v>664</v>
      </c>
      <c r="C221">
        <v>46.14</v>
      </c>
      <c r="D221">
        <v>11715</v>
      </c>
      <c r="E221" s="2" t="s">
        <v>34</v>
      </c>
      <c r="F221" s="2">
        <f t="shared" si="10"/>
        <v>253.90117035110532</v>
      </c>
      <c r="G221" s="2">
        <f t="shared" si="11"/>
        <v>6.9487951807228914</v>
      </c>
      <c r="H221" s="2" t="str">
        <f t="shared" si="9"/>
        <v>2 pihenő</v>
      </c>
    </row>
    <row r="222" spans="1:8" x14ac:dyDescent="0.25">
      <c r="A222" s="1">
        <v>38703</v>
      </c>
      <c r="B222">
        <v>526</v>
      </c>
      <c r="C222">
        <v>40.22</v>
      </c>
      <c r="D222">
        <v>10333</v>
      </c>
      <c r="E222" s="2" t="s">
        <v>34</v>
      </c>
      <c r="F222" s="2">
        <f t="shared" si="10"/>
        <v>256.91198408751865</v>
      </c>
      <c r="G222" s="2">
        <f t="shared" si="11"/>
        <v>7.6463878326996193</v>
      </c>
      <c r="H222" s="2" t="str">
        <f t="shared" si="9"/>
        <v>1 pihenő</v>
      </c>
    </row>
    <row r="223" spans="1:8" x14ac:dyDescent="0.25">
      <c r="A223" s="1">
        <v>38715</v>
      </c>
      <c r="B223">
        <v>545</v>
      </c>
      <c r="C223">
        <v>41.5</v>
      </c>
      <c r="D223">
        <v>10495</v>
      </c>
      <c r="E223" s="2" t="s">
        <v>34</v>
      </c>
      <c r="F223" s="2">
        <f t="shared" si="10"/>
        <v>252.89156626506025</v>
      </c>
      <c r="G223" s="2">
        <f t="shared" si="11"/>
        <v>7.6146788990825689</v>
      </c>
      <c r="H223" s="2" t="str">
        <f t="shared" si="9"/>
        <v>1 pihenő</v>
      </c>
    </row>
    <row r="224" spans="1:8" x14ac:dyDescent="0.25">
      <c r="A224" s="1">
        <v>38727</v>
      </c>
      <c r="B224">
        <v>526</v>
      </c>
      <c r="C224">
        <v>37.35</v>
      </c>
      <c r="D224">
        <v>9595</v>
      </c>
      <c r="E224" s="2" t="s">
        <v>34</v>
      </c>
      <c r="F224" s="2">
        <f t="shared" si="10"/>
        <v>256.89424364123158</v>
      </c>
      <c r="G224" s="2">
        <f t="shared" si="11"/>
        <v>7.1007604562737647</v>
      </c>
      <c r="H224" s="2" t="str">
        <f t="shared" si="9"/>
        <v>1 pihenő</v>
      </c>
    </row>
    <row r="225" spans="1:8" x14ac:dyDescent="0.25">
      <c r="A225" s="1">
        <v>38737</v>
      </c>
      <c r="B225">
        <v>585</v>
      </c>
      <c r="C225">
        <v>46.47</v>
      </c>
      <c r="D225">
        <v>12170</v>
      </c>
      <c r="E225" s="2" t="s">
        <v>34</v>
      </c>
      <c r="F225" s="2">
        <f t="shared" si="10"/>
        <v>261.88939100494946</v>
      </c>
      <c r="G225" s="2">
        <f t="shared" si="11"/>
        <v>7.9435897435897438</v>
      </c>
      <c r="H225" s="2" t="str">
        <f t="shared" si="9"/>
        <v>1 pihenő</v>
      </c>
    </row>
    <row r="226" spans="1:8" x14ac:dyDescent="0.25">
      <c r="A226" s="1">
        <v>38750</v>
      </c>
      <c r="B226">
        <v>599</v>
      </c>
      <c r="C226">
        <v>47.7</v>
      </c>
      <c r="D226">
        <v>12683</v>
      </c>
      <c r="E226" s="2" t="s">
        <v>34</v>
      </c>
      <c r="F226" s="2">
        <f t="shared" si="10"/>
        <v>265.89098532494756</v>
      </c>
      <c r="G226" s="2">
        <f t="shared" si="11"/>
        <v>7.9632721202003349</v>
      </c>
      <c r="H226" s="2" t="str">
        <f t="shared" si="9"/>
        <v>1 pihenő</v>
      </c>
    </row>
    <row r="227" spans="1:8" x14ac:dyDescent="0.25">
      <c r="A227" s="1">
        <v>38761</v>
      </c>
      <c r="B227">
        <v>581</v>
      </c>
      <c r="C227">
        <v>45.27</v>
      </c>
      <c r="D227">
        <v>11901</v>
      </c>
      <c r="E227" s="2" t="s">
        <v>34</v>
      </c>
      <c r="F227" s="2">
        <f t="shared" si="10"/>
        <v>262.8893306825712</v>
      </c>
      <c r="G227" s="2">
        <f t="shared" si="11"/>
        <v>7.7917383820998287</v>
      </c>
      <c r="H227" s="2" t="str">
        <f t="shared" si="9"/>
        <v>1 pihenő</v>
      </c>
    </row>
    <row r="228" spans="1:8" x14ac:dyDescent="0.25">
      <c r="A228" s="1">
        <v>38772</v>
      </c>
      <c r="B228">
        <v>608</v>
      </c>
      <c r="C228">
        <v>45.36</v>
      </c>
      <c r="D228">
        <v>11517</v>
      </c>
      <c r="E228" s="2" t="s">
        <v>34</v>
      </c>
      <c r="F228" s="2">
        <f t="shared" si="10"/>
        <v>253.90211640211641</v>
      </c>
      <c r="G228" s="2">
        <f t="shared" si="11"/>
        <v>7.4605263157894726</v>
      </c>
      <c r="H228" s="2" t="str">
        <f t="shared" si="9"/>
        <v>2 pihenő</v>
      </c>
    </row>
    <row r="229" spans="1:8" x14ac:dyDescent="0.25">
      <c r="A229" s="1">
        <v>38786</v>
      </c>
      <c r="B229">
        <v>607</v>
      </c>
      <c r="C229">
        <v>45.93</v>
      </c>
      <c r="D229">
        <v>11753</v>
      </c>
      <c r="E229" s="2" t="s">
        <v>34</v>
      </c>
      <c r="F229" s="2">
        <f t="shared" si="10"/>
        <v>255.88939690833877</v>
      </c>
      <c r="G229" s="2">
        <f t="shared" si="11"/>
        <v>7.5667215815485998</v>
      </c>
      <c r="H229" s="2" t="str">
        <f t="shared" si="9"/>
        <v>2 pihenő</v>
      </c>
    </row>
    <row r="230" spans="1:8" x14ac:dyDescent="0.25">
      <c r="A230" s="1">
        <v>38799</v>
      </c>
      <c r="B230">
        <v>618</v>
      </c>
      <c r="C230">
        <v>46.04</v>
      </c>
      <c r="D230">
        <v>12012</v>
      </c>
      <c r="E230" s="2" t="s">
        <v>34</v>
      </c>
      <c r="F230" s="2">
        <f t="shared" si="10"/>
        <v>260.90356211989575</v>
      </c>
      <c r="G230" s="2">
        <f t="shared" si="11"/>
        <v>7.449838187702265</v>
      </c>
      <c r="H230" s="2" t="str">
        <f t="shared" si="9"/>
        <v>2 pihenő</v>
      </c>
    </row>
    <row r="231" spans="1:8" x14ac:dyDescent="0.25">
      <c r="A231" s="1">
        <v>38810</v>
      </c>
      <c r="B231">
        <v>588</v>
      </c>
      <c r="C231">
        <v>45.25</v>
      </c>
      <c r="D231">
        <v>11987</v>
      </c>
      <c r="E231" s="2" t="s">
        <v>34</v>
      </c>
      <c r="F231" s="2">
        <f t="shared" si="10"/>
        <v>264.90607734806628</v>
      </c>
      <c r="G231" s="2">
        <f t="shared" si="11"/>
        <v>7.6955782312925169</v>
      </c>
      <c r="H231" s="2" t="str">
        <f t="shared" si="9"/>
        <v>1 pihenő</v>
      </c>
    </row>
    <row r="232" spans="1:8" x14ac:dyDescent="0.25">
      <c r="A232" s="1">
        <v>38821</v>
      </c>
      <c r="B232">
        <v>610</v>
      </c>
      <c r="C232">
        <v>46.06</v>
      </c>
      <c r="D232">
        <v>12754</v>
      </c>
      <c r="E232" s="2" t="s">
        <v>34</v>
      </c>
      <c r="F232" s="2">
        <f t="shared" si="10"/>
        <v>276.89969604863222</v>
      </c>
      <c r="G232" s="2">
        <f t="shared" si="11"/>
        <v>7.5508196721311478</v>
      </c>
      <c r="H232" s="2" t="str">
        <f t="shared" si="9"/>
        <v>2 pihenő</v>
      </c>
    </row>
    <row r="233" spans="1:8" x14ac:dyDescent="0.25">
      <c r="A233" s="1">
        <v>38832</v>
      </c>
      <c r="B233">
        <v>541</v>
      </c>
      <c r="C233">
        <v>39.15</v>
      </c>
      <c r="D233">
        <v>10567</v>
      </c>
      <c r="E233" s="2" t="s">
        <v>34</v>
      </c>
      <c r="F233" s="2">
        <f t="shared" si="10"/>
        <v>269.91060025542782</v>
      </c>
      <c r="G233" s="2">
        <f t="shared" si="11"/>
        <v>7.2365988909426981</v>
      </c>
      <c r="H233" s="2" t="str">
        <f t="shared" si="9"/>
        <v>1 pihenő</v>
      </c>
    </row>
    <row r="234" spans="1:8" x14ac:dyDescent="0.25">
      <c r="A234" s="1">
        <v>38842</v>
      </c>
      <c r="B234">
        <v>685</v>
      </c>
      <c r="C234">
        <v>46.72</v>
      </c>
      <c r="D234">
        <v>13124</v>
      </c>
      <c r="E234" s="2" t="s">
        <v>34</v>
      </c>
      <c r="F234" s="2">
        <f t="shared" si="10"/>
        <v>280.90753424657532</v>
      </c>
      <c r="G234" s="2">
        <f t="shared" si="11"/>
        <v>6.8204379562043798</v>
      </c>
      <c r="H234" s="2" t="str">
        <f t="shared" si="9"/>
        <v>2 pihenő</v>
      </c>
    </row>
    <row r="235" spans="1:8" x14ac:dyDescent="0.25">
      <c r="A235" s="1">
        <v>38853</v>
      </c>
      <c r="B235">
        <v>565</v>
      </c>
      <c r="C235">
        <v>45.09</v>
      </c>
      <c r="D235">
        <v>12936</v>
      </c>
      <c r="E235" s="2" t="s">
        <v>34</v>
      </c>
      <c r="F235" s="2">
        <f t="shared" si="10"/>
        <v>286.89288090485695</v>
      </c>
      <c r="G235" s="2">
        <f t="shared" si="11"/>
        <v>7.9805309734513274</v>
      </c>
      <c r="H235" s="2" t="str">
        <f t="shared" si="9"/>
        <v>1 pihenő</v>
      </c>
    </row>
    <row r="236" spans="1:8" x14ac:dyDescent="0.25">
      <c r="A236" s="1">
        <v>38863</v>
      </c>
      <c r="B236">
        <v>631</v>
      </c>
      <c r="C236">
        <v>45.15</v>
      </c>
      <c r="D236">
        <v>12637</v>
      </c>
      <c r="E236" s="2" t="s">
        <v>34</v>
      </c>
      <c r="F236" s="2">
        <f t="shared" si="10"/>
        <v>279.88925802879294</v>
      </c>
      <c r="G236" s="2">
        <f t="shared" si="11"/>
        <v>7.1553090332805072</v>
      </c>
      <c r="H236" s="2" t="str">
        <f t="shared" si="9"/>
        <v>2 pihenő</v>
      </c>
    </row>
    <row r="237" spans="1:8" x14ac:dyDescent="0.25">
      <c r="A237" s="1">
        <v>38876</v>
      </c>
      <c r="B237">
        <v>627</v>
      </c>
      <c r="C237">
        <v>44.56</v>
      </c>
      <c r="D237">
        <v>12695</v>
      </c>
      <c r="E237" s="2" t="s">
        <v>34</v>
      </c>
      <c r="F237" s="2">
        <f t="shared" si="10"/>
        <v>284.89676840215441</v>
      </c>
      <c r="G237" s="2">
        <f t="shared" si="11"/>
        <v>7.1068580542264757</v>
      </c>
      <c r="H237" s="2" t="str">
        <f t="shared" si="9"/>
        <v>2 pihenő</v>
      </c>
    </row>
    <row r="238" spans="1:8" x14ac:dyDescent="0.25">
      <c r="A238" s="1">
        <v>38890</v>
      </c>
      <c r="B238">
        <v>589</v>
      </c>
      <c r="C238">
        <v>41.91</v>
      </c>
      <c r="D238">
        <v>12401</v>
      </c>
      <c r="E238" s="2" t="s">
        <v>28</v>
      </c>
      <c r="F238" s="2">
        <f t="shared" si="10"/>
        <v>295.89596754951089</v>
      </c>
      <c r="G238" s="2">
        <f t="shared" si="11"/>
        <v>7.1154499151103554</v>
      </c>
      <c r="H238" s="2" t="str">
        <f t="shared" si="9"/>
        <v>1 pihenő</v>
      </c>
    </row>
    <row r="239" spans="1:8" x14ac:dyDescent="0.25">
      <c r="A239" s="1">
        <v>38909</v>
      </c>
      <c r="B239">
        <v>612</v>
      </c>
      <c r="C239">
        <v>40.25</v>
      </c>
      <c r="D239">
        <v>11990</v>
      </c>
      <c r="E239" s="2" t="s">
        <v>34</v>
      </c>
      <c r="F239" s="2">
        <f t="shared" si="10"/>
        <v>297.88819875776397</v>
      </c>
      <c r="G239" s="2">
        <f t="shared" si="11"/>
        <v>6.5767973856209156</v>
      </c>
      <c r="H239" s="2" t="str">
        <f t="shared" si="9"/>
        <v>2 pihenő</v>
      </c>
    </row>
    <row r="240" spans="1:8" x14ac:dyDescent="0.25">
      <c r="A240" s="1">
        <v>38915</v>
      </c>
      <c r="B240">
        <v>658</v>
      </c>
      <c r="C240">
        <v>44.26</v>
      </c>
      <c r="D240">
        <v>13318</v>
      </c>
      <c r="E240" s="2" t="s">
        <v>34</v>
      </c>
      <c r="F240" s="2">
        <f t="shared" si="10"/>
        <v>300.90375056484413</v>
      </c>
      <c r="G240" s="2">
        <f t="shared" si="11"/>
        <v>6.7264437689969609</v>
      </c>
      <c r="H240" s="2" t="str">
        <f t="shared" si="9"/>
        <v>2 pihenő</v>
      </c>
    </row>
    <row r="241" spans="1:8" x14ac:dyDescent="0.25">
      <c r="A241" s="1">
        <v>38924</v>
      </c>
      <c r="B241">
        <v>721</v>
      </c>
      <c r="C241">
        <v>44.42</v>
      </c>
      <c r="D241">
        <v>13366</v>
      </c>
      <c r="E241" s="2" t="s">
        <v>34</v>
      </c>
      <c r="F241" s="2">
        <f t="shared" si="10"/>
        <v>300.90049527239978</v>
      </c>
      <c r="G241" s="2">
        <f t="shared" si="11"/>
        <v>6.160887656033287</v>
      </c>
      <c r="H241" s="2" t="str">
        <f t="shared" si="9"/>
        <v>2 pihenő</v>
      </c>
    </row>
    <row r="242" spans="1:8" x14ac:dyDescent="0.25">
      <c r="A242" s="1">
        <v>38932</v>
      </c>
      <c r="B242">
        <v>532</v>
      </c>
      <c r="C242">
        <v>31.02</v>
      </c>
      <c r="D242">
        <v>9334</v>
      </c>
      <c r="E242" s="2" t="s">
        <v>34</v>
      </c>
      <c r="F242" s="2">
        <f t="shared" si="10"/>
        <v>300.90264345583495</v>
      </c>
      <c r="G242" s="2">
        <f t="shared" si="11"/>
        <v>5.8308270676691727</v>
      </c>
      <c r="H242" s="2" t="str">
        <f t="shared" si="9"/>
        <v>1 pihenő</v>
      </c>
    </row>
    <row r="243" spans="1:8" x14ac:dyDescent="0.25">
      <c r="A243" s="1">
        <v>38941</v>
      </c>
      <c r="B243">
        <v>293</v>
      </c>
      <c r="C243">
        <v>19.86</v>
      </c>
      <c r="D243">
        <v>5867</v>
      </c>
      <c r="E243" s="2" t="s">
        <v>8</v>
      </c>
      <c r="F243" s="2">
        <f t="shared" si="10"/>
        <v>295.41792547834842</v>
      </c>
      <c r="G243" s="2">
        <f t="shared" si="11"/>
        <v>6.7781569965870299</v>
      </c>
      <c r="H243" s="2" t="str">
        <f t="shared" si="9"/>
        <v/>
      </c>
    </row>
    <row r="244" spans="1:8" x14ac:dyDescent="0.25">
      <c r="A244" s="1">
        <v>38951</v>
      </c>
      <c r="B244">
        <v>658</v>
      </c>
      <c r="C244">
        <v>44.67</v>
      </c>
      <c r="D244">
        <v>13173</v>
      </c>
      <c r="E244" s="2" t="s">
        <v>34</v>
      </c>
      <c r="F244" s="2">
        <f t="shared" si="10"/>
        <v>294.8959032907992</v>
      </c>
      <c r="G244" s="2">
        <f t="shared" si="11"/>
        <v>6.7887537993920972</v>
      </c>
      <c r="H244" s="2" t="str">
        <f t="shared" si="9"/>
        <v>2 pihenő</v>
      </c>
    </row>
    <row r="245" spans="1:8" x14ac:dyDescent="0.25">
      <c r="A245" s="1">
        <v>38964</v>
      </c>
      <c r="B245">
        <v>632</v>
      </c>
      <c r="C245">
        <v>43.72</v>
      </c>
      <c r="D245">
        <v>12500</v>
      </c>
      <c r="E245" s="2" t="s">
        <v>34</v>
      </c>
      <c r="F245" s="2">
        <f t="shared" si="10"/>
        <v>285.91033851784078</v>
      </c>
      <c r="G245" s="2">
        <f t="shared" si="11"/>
        <v>6.9177215189873422</v>
      </c>
      <c r="H245" s="2" t="str">
        <f t="shared" si="9"/>
        <v>2 pihenő</v>
      </c>
    </row>
    <row r="246" spans="1:8" x14ac:dyDescent="0.25">
      <c r="A246" s="1">
        <v>38975</v>
      </c>
      <c r="B246">
        <v>605</v>
      </c>
      <c r="C246">
        <v>44.03</v>
      </c>
      <c r="D246">
        <v>11884</v>
      </c>
      <c r="E246" s="2" t="s">
        <v>34</v>
      </c>
      <c r="F246" s="2">
        <f t="shared" si="10"/>
        <v>269.90688167158754</v>
      </c>
      <c r="G246" s="2">
        <f t="shared" si="11"/>
        <v>7.2776859504132236</v>
      </c>
      <c r="H246" s="2" t="str">
        <f t="shared" si="9"/>
        <v>2 pihenő</v>
      </c>
    </row>
    <row r="247" spans="1:8" x14ac:dyDescent="0.25">
      <c r="A247" s="1">
        <v>38980</v>
      </c>
      <c r="B247">
        <v>704</v>
      </c>
      <c r="C247">
        <v>44.23</v>
      </c>
      <c r="D247">
        <v>11717</v>
      </c>
      <c r="E247" s="2" t="s">
        <v>34</v>
      </c>
      <c r="F247" s="2">
        <f t="shared" si="10"/>
        <v>264.91069409902781</v>
      </c>
      <c r="G247" s="2">
        <f t="shared" si="11"/>
        <v>6.2826704545454541</v>
      </c>
      <c r="H247" s="2" t="str">
        <f t="shared" si="9"/>
        <v>2 pihenő</v>
      </c>
    </row>
    <row r="248" spans="1:8" x14ac:dyDescent="0.25">
      <c r="A248" s="1">
        <v>38992</v>
      </c>
      <c r="B248">
        <v>645</v>
      </c>
      <c r="C248">
        <v>43.86</v>
      </c>
      <c r="D248">
        <v>11619</v>
      </c>
      <c r="E248" s="2" t="s">
        <v>31</v>
      </c>
      <c r="F248" s="2">
        <f t="shared" si="10"/>
        <v>264.91108071135432</v>
      </c>
      <c r="G248" s="2">
        <f t="shared" si="11"/>
        <v>6.8000000000000007</v>
      </c>
      <c r="H248" s="2" t="str">
        <f t="shared" si="9"/>
        <v>2 pihenő</v>
      </c>
    </row>
    <row r="249" spans="1:8" x14ac:dyDescent="0.25">
      <c r="A249" s="1">
        <v>39006</v>
      </c>
      <c r="B249">
        <v>621</v>
      </c>
      <c r="C249">
        <v>46.91</v>
      </c>
      <c r="D249">
        <v>12051</v>
      </c>
      <c r="E249" s="2" t="s">
        <v>34</v>
      </c>
      <c r="F249" s="2">
        <f t="shared" si="10"/>
        <v>256.8961841824771</v>
      </c>
      <c r="G249" s="2">
        <f t="shared" si="11"/>
        <v>7.5539452495974224</v>
      </c>
      <c r="H249" s="2" t="str">
        <f t="shared" si="9"/>
        <v>2 pihenő</v>
      </c>
    </row>
    <row r="250" spans="1:8" x14ac:dyDescent="0.25">
      <c r="A250" s="1">
        <v>39020</v>
      </c>
      <c r="B250">
        <v>570</v>
      </c>
      <c r="C250">
        <v>44.63</v>
      </c>
      <c r="D250">
        <v>11287</v>
      </c>
      <c r="E250" s="2" t="s">
        <v>34</v>
      </c>
      <c r="F250" s="2">
        <f t="shared" si="10"/>
        <v>252.90163567107325</v>
      </c>
      <c r="G250" s="2">
        <f t="shared" si="11"/>
        <v>7.8298245614035089</v>
      </c>
      <c r="H250" s="2" t="str">
        <f t="shared" si="9"/>
        <v>1 pihenő</v>
      </c>
    </row>
    <row r="251" spans="1:8" x14ac:dyDescent="0.25">
      <c r="A251" s="1">
        <v>39035</v>
      </c>
      <c r="B251">
        <v>579</v>
      </c>
      <c r="C251">
        <v>45.38</v>
      </c>
      <c r="D251">
        <v>11386</v>
      </c>
      <c r="E251" s="2" t="s">
        <v>34</v>
      </c>
      <c r="F251" s="2">
        <f t="shared" si="10"/>
        <v>250.9034817100044</v>
      </c>
      <c r="G251" s="2">
        <f t="shared" si="11"/>
        <v>7.8376511226252168</v>
      </c>
      <c r="H251" s="2" t="str">
        <f t="shared" si="9"/>
        <v>1 pihenő</v>
      </c>
    </row>
    <row r="252" spans="1:8" x14ac:dyDescent="0.25">
      <c r="A252" s="1">
        <v>39045</v>
      </c>
      <c r="B252">
        <v>525</v>
      </c>
      <c r="C252">
        <v>41.48</v>
      </c>
      <c r="D252">
        <v>10324</v>
      </c>
      <c r="E252" s="2" t="s">
        <v>34</v>
      </c>
      <c r="F252" s="2">
        <f t="shared" si="10"/>
        <v>248.89103182256511</v>
      </c>
      <c r="G252" s="2">
        <f t="shared" si="11"/>
        <v>7.9009523809523809</v>
      </c>
      <c r="H252" s="2" t="str">
        <f t="shared" si="9"/>
        <v>1 pihenő</v>
      </c>
    </row>
    <row r="253" spans="1:8" x14ac:dyDescent="0.25">
      <c r="A253" s="1">
        <v>39056</v>
      </c>
      <c r="B253">
        <v>623</v>
      </c>
      <c r="C253">
        <v>48.07</v>
      </c>
      <c r="D253">
        <v>11965</v>
      </c>
      <c r="E253" s="2" t="s">
        <v>34</v>
      </c>
      <c r="F253" s="2">
        <f t="shared" si="10"/>
        <v>248.90784272935304</v>
      </c>
      <c r="G253" s="2">
        <f t="shared" si="11"/>
        <v>7.7158908507223112</v>
      </c>
      <c r="H253" s="2" t="str">
        <f t="shared" si="9"/>
        <v>2 pihenő</v>
      </c>
    </row>
    <row r="254" spans="1:8" x14ac:dyDescent="0.25">
      <c r="A254" s="1">
        <v>39066</v>
      </c>
      <c r="B254">
        <v>580</v>
      </c>
      <c r="C254">
        <v>46.01</v>
      </c>
      <c r="D254">
        <v>11498</v>
      </c>
      <c r="E254" s="2" t="s">
        <v>34</v>
      </c>
      <c r="F254" s="2">
        <f t="shared" si="10"/>
        <v>249.90219517496197</v>
      </c>
      <c r="G254" s="2">
        <f t="shared" si="11"/>
        <v>7.932758620689655</v>
      </c>
      <c r="H254" s="2" t="str">
        <f t="shared" si="9"/>
        <v>1 pihenő</v>
      </c>
    </row>
    <row r="255" spans="1:8" x14ac:dyDescent="0.25">
      <c r="A255" s="1">
        <v>39084</v>
      </c>
      <c r="B255">
        <v>519</v>
      </c>
      <c r="C255">
        <v>42.3</v>
      </c>
      <c r="D255">
        <v>10571</v>
      </c>
      <c r="E255" s="2" t="s">
        <v>34</v>
      </c>
      <c r="F255" s="2">
        <f t="shared" si="10"/>
        <v>249.90543735224588</v>
      </c>
      <c r="G255" s="2">
        <f t="shared" si="11"/>
        <v>8.1502890173410414</v>
      </c>
      <c r="H255" s="2" t="str">
        <f t="shared" si="9"/>
        <v>1 pihenő</v>
      </c>
    </row>
    <row r="256" spans="1:8" x14ac:dyDescent="0.25">
      <c r="A256" s="1">
        <v>39100</v>
      </c>
      <c r="B256">
        <v>539</v>
      </c>
      <c r="C256">
        <v>43.79</v>
      </c>
      <c r="D256">
        <v>10286</v>
      </c>
      <c r="E256" s="2" t="s">
        <v>34</v>
      </c>
      <c r="F256" s="2">
        <f t="shared" si="10"/>
        <v>234.89381137245948</v>
      </c>
      <c r="G256" s="2">
        <f t="shared" si="11"/>
        <v>8.1243042671614099</v>
      </c>
      <c r="H256" s="2" t="str">
        <f t="shared" si="9"/>
        <v>1 pihenő</v>
      </c>
    </row>
    <row r="257" spans="1:8" x14ac:dyDescent="0.25">
      <c r="A257" s="1">
        <v>39114</v>
      </c>
      <c r="B257">
        <v>573</v>
      </c>
      <c r="C257">
        <v>43.56</v>
      </c>
      <c r="D257">
        <v>10232</v>
      </c>
      <c r="E257" s="2" t="s">
        <v>34</v>
      </c>
      <c r="F257" s="2">
        <f t="shared" si="10"/>
        <v>234.89439853076215</v>
      </c>
      <c r="G257" s="2">
        <f t="shared" si="11"/>
        <v>7.6020942408376966</v>
      </c>
      <c r="H257" s="2" t="str">
        <f t="shared" si="9"/>
        <v>1 pihenő</v>
      </c>
    </row>
    <row r="258" spans="1:8" x14ac:dyDescent="0.25">
      <c r="A258" s="1">
        <v>39125</v>
      </c>
      <c r="B258">
        <v>638</v>
      </c>
      <c r="C258">
        <v>46.93</v>
      </c>
      <c r="D258">
        <v>11305</v>
      </c>
      <c r="E258" s="2" t="s">
        <v>41</v>
      </c>
      <c r="F258" s="2">
        <f t="shared" si="10"/>
        <v>240.89068825910931</v>
      </c>
      <c r="G258" s="2">
        <f t="shared" si="11"/>
        <v>7.3557993730407532</v>
      </c>
      <c r="H258" s="2" t="str">
        <f t="shared" ref="H258:H321" si="12">IF(B258&lt;600,IF(B258&lt;300,"","1 pihenő"),"2 pihenő")</f>
        <v>2 pihenő</v>
      </c>
    </row>
    <row r="259" spans="1:8" x14ac:dyDescent="0.25">
      <c r="A259" s="1">
        <v>39131</v>
      </c>
      <c r="B259">
        <v>714</v>
      </c>
      <c r="C259">
        <v>48.6</v>
      </c>
      <c r="D259">
        <v>12340</v>
      </c>
      <c r="E259" s="2" t="s">
        <v>42</v>
      </c>
      <c r="F259" s="2">
        <f t="shared" ref="F259:F322" si="13">D259/C259</f>
        <v>253.90946502057614</v>
      </c>
      <c r="G259" s="2">
        <f t="shared" ref="G259:G322" si="14">C259/B259*100</f>
        <v>6.8067226890756309</v>
      </c>
      <c r="H259" s="2" t="str">
        <f t="shared" si="12"/>
        <v>2 pihenő</v>
      </c>
    </row>
    <row r="260" spans="1:8" x14ac:dyDescent="0.25">
      <c r="A260" s="1">
        <v>39143</v>
      </c>
      <c r="B260">
        <v>590</v>
      </c>
      <c r="C260">
        <v>45.13</v>
      </c>
      <c r="D260">
        <v>11097</v>
      </c>
      <c r="E260" s="2" t="s">
        <v>43</v>
      </c>
      <c r="F260" s="2">
        <f t="shared" si="13"/>
        <v>245.889652116109</v>
      </c>
      <c r="G260" s="2">
        <f t="shared" si="14"/>
        <v>7.6491525423728817</v>
      </c>
      <c r="H260" s="2" t="str">
        <f t="shared" si="12"/>
        <v>1 pihenő</v>
      </c>
    </row>
    <row r="261" spans="1:8" x14ac:dyDescent="0.25">
      <c r="A261" s="1">
        <v>39155</v>
      </c>
      <c r="B261">
        <v>616</v>
      </c>
      <c r="C261">
        <v>44.52</v>
      </c>
      <c r="D261">
        <v>11309</v>
      </c>
      <c r="E261" s="2" t="s">
        <v>34</v>
      </c>
      <c r="F261" s="2">
        <f t="shared" si="13"/>
        <v>254.02066486972146</v>
      </c>
      <c r="G261" s="2">
        <f t="shared" si="14"/>
        <v>7.2272727272727284</v>
      </c>
      <c r="H261" s="2" t="str">
        <f t="shared" si="12"/>
        <v>2 pihenő</v>
      </c>
    </row>
    <row r="262" spans="1:8" x14ac:dyDescent="0.25">
      <c r="A262" s="1">
        <v>39171</v>
      </c>
      <c r="B262">
        <v>588</v>
      </c>
      <c r="C262">
        <v>45.61</v>
      </c>
      <c r="D262">
        <v>11580</v>
      </c>
      <c r="E262" s="2" t="s">
        <v>34</v>
      </c>
      <c r="F262" s="2">
        <f t="shared" si="13"/>
        <v>253.89169041876781</v>
      </c>
      <c r="G262" s="2">
        <f t="shared" si="14"/>
        <v>7.7568027210884347</v>
      </c>
      <c r="H262" s="2" t="str">
        <f t="shared" si="12"/>
        <v>1 pihenő</v>
      </c>
    </row>
    <row r="263" spans="1:8" x14ac:dyDescent="0.25">
      <c r="A263" s="1">
        <v>39184</v>
      </c>
      <c r="B263">
        <v>592</v>
      </c>
      <c r="C263">
        <v>44.01</v>
      </c>
      <c r="D263">
        <v>11570</v>
      </c>
      <c r="E263" s="2" t="s">
        <v>34</v>
      </c>
      <c r="F263" s="2">
        <f t="shared" si="13"/>
        <v>262.89479663712791</v>
      </c>
      <c r="G263" s="2">
        <f t="shared" si="14"/>
        <v>7.434121621621621</v>
      </c>
      <c r="H263" s="2" t="str">
        <f t="shared" si="12"/>
        <v>1 pihenő</v>
      </c>
    </row>
    <row r="264" spans="1:8" x14ac:dyDescent="0.25">
      <c r="A264" s="1">
        <v>39196</v>
      </c>
      <c r="B264">
        <v>605</v>
      </c>
      <c r="C264">
        <v>46.06</v>
      </c>
      <c r="D264">
        <v>12247</v>
      </c>
      <c r="E264" s="2" t="s">
        <v>34</v>
      </c>
      <c r="F264" s="2">
        <f t="shared" si="13"/>
        <v>265.89231437255751</v>
      </c>
      <c r="G264" s="2">
        <f t="shared" si="14"/>
        <v>7.6132231404958688</v>
      </c>
      <c r="H264" s="2" t="str">
        <f t="shared" si="12"/>
        <v>2 pihenő</v>
      </c>
    </row>
    <row r="265" spans="1:8" x14ac:dyDescent="0.25">
      <c r="A265" s="1">
        <v>39206</v>
      </c>
      <c r="B265">
        <v>628</v>
      </c>
      <c r="C265">
        <v>42.39</v>
      </c>
      <c r="D265">
        <v>11272</v>
      </c>
      <c r="E265" s="2" t="s">
        <v>34</v>
      </c>
      <c r="F265" s="2">
        <f t="shared" si="13"/>
        <v>265.91177164425574</v>
      </c>
      <c r="G265" s="2">
        <f t="shared" si="14"/>
        <v>6.75</v>
      </c>
      <c r="H265" s="2" t="str">
        <f t="shared" si="12"/>
        <v>2 pihenő</v>
      </c>
    </row>
    <row r="266" spans="1:8" x14ac:dyDescent="0.25">
      <c r="A266" s="1">
        <v>39220</v>
      </c>
      <c r="B266">
        <v>658</v>
      </c>
      <c r="C266">
        <v>47.56</v>
      </c>
      <c r="D266">
        <v>12836</v>
      </c>
      <c r="E266" s="2" t="s">
        <v>34</v>
      </c>
      <c r="F266" s="2">
        <f t="shared" si="13"/>
        <v>269.8906644238856</v>
      </c>
      <c r="G266" s="2">
        <f t="shared" si="14"/>
        <v>7.2279635258358663</v>
      </c>
      <c r="H266" s="2" t="str">
        <f t="shared" si="12"/>
        <v>2 pihenő</v>
      </c>
    </row>
    <row r="267" spans="1:8" x14ac:dyDescent="0.25">
      <c r="A267" s="1">
        <v>39237</v>
      </c>
      <c r="B267">
        <v>709</v>
      </c>
      <c r="C267">
        <v>49.18</v>
      </c>
      <c r="D267">
        <v>13667</v>
      </c>
      <c r="E267" s="2" t="s">
        <v>34</v>
      </c>
      <c r="F267" s="2">
        <f t="shared" si="13"/>
        <v>277.89751931679547</v>
      </c>
      <c r="G267" s="2">
        <f t="shared" si="14"/>
        <v>6.9365303244005636</v>
      </c>
      <c r="H267" s="2" t="str">
        <f t="shared" si="12"/>
        <v>2 pihenő</v>
      </c>
    </row>
    <row r="268" spans="1:8" x14ac:dyDescent="0.25">
      <c r="A268" s="1">
        <v>39247</v>
      </c>
      <c r="B268">
        <v>664</v>
      </c>
      <c r="C268">
        <v>46.55</v>
      </c>
      <c r="D268">
        <v>12983</v>
      </c>
      <c r="E268" s="2" t="s">
        <v>34</v>
      </c>
      <c r="F268" s="2">
        <f t="shared" si="13"/>
        <v>278.9044038668099</v>
      </c>
      <c r="G268" s="2">
        <f t="shared" si="14"/>
        <v>7.0105421686746983</v>
      </c>
      <c r="H268" s="2" t="str">
        <f t="shared" si="12"/>
        <v>2 pihenő</v>
      </c>
    </row>
    <row r="269" spans="1:8" x14ac:dyDescent="0.25">
      <c r="A269" s="1">
        <v>39274</v>
      </c>
      <c r="B269">
        <v>689</v>
      </c>
      <c r="C269">
        <v>44.04</v>
      </c>
      <c r="D269">
        <v>12415</v>
      </c>
      <c r="E269" s="2" t="s">
        <v>34</v>
      </c>
      <c r="F269" s="2">
        <f t="shared" si="13"/>
        <v>281.90281562216165</v>
      </c>
      <c r="G269" s="2">
        <f t="shared" si="14"/>
        <v>6.3918722786647315</v>
      </c>
      <c r="H269" s="2" t="str">
        <f t="shared" si="12"/>
        <v>2 pihenő</v>
      </c>
    </row>
    <row r="270" spans="1:8" x14ac:dyDescent="0.25">
      <c r="A270" s="1">
        <v>39290</v>
      </c>
      <c r="B270">
        <v>659</v>
      </c>
      <c r="C270">
        <v>43.96</v>
      </c>
      <c r="D270">
        <v>12173</v>
      </c>
      <c r="E270" s="2" t="s">
        <v>34</v>
      </c>
      <c r="F270" s="2">
        <f t="shared" si="13"/>
        <v>276.91082802547771</v>
      </c>
      <c r="G270" s="2">
        <f t="shared" si="14"/>
        <v>6.6707132018209405</v>
      </c>
      <c r="H270" s="2" t="str">
        <f t="shared" si="12"/>
        <v>2 pihenő</v>
      </c>
    </row>
    <row r="271" spans="1:8" x14ac:dyDescent="0.25">
      <c r="A271" s="1">
        <v>39297</v>
      </c>
      <c r="B271">
        <v>227</v>
      </c>
      <c r="C271">
        <v>15</v>
      </c>
      <c r="D271">
        <v>4154</v>
      </c>
      <c r="E271" s="2" t="s">
        <v>44</v>
      </c>
      <c r="F271" s="2">
        <f t="shared" si="13"/>
        <v>276.93333333333334</v>
      </c>
      <c r="G271" s="2">
        <f t="shared" si="14"/>
        <v>6.607929515418502</v>
      </c>
      <c r="H271" s="2" t="str">
        <f t="shared" si="12"/>
        <v/>
      </c>
    </row>
    <row r="272" spans="1:8" x14ac:dyDescent="0.25">
      <c r="A272" s="1">
        <v>39307</v>
      </c>
      <c r="B272">
        <v>625</v>
      </c>
      <c r="C272">
        <v>41.42</v>
      </c>
      <c r="D272">
        <v>11469</v>
      </c>
      <c r="E272" s="2" t="s">
        <v>34</v>
      </c>
      <c r="F272" s="2">
        <f t="shared" si="13"/>
        <v>276.89521970062771</v>
      </c>
      <c r="G272" s="2">
        <f t="shared" si="14"/>
        <v>6.6272000000000002</v>
      </c>
      <c r="H272" s="2" t="str">
        <f t="shared" si="12"/>
        <v>2 pihenő</v>
      </c>
    </row>
    <row r="273" spans="1:8" x14ac:dyDescent="0.25">
      <c r="A273" s="1">
        <v>39318</v>
      </c>
      <c r="B273">
        <v>666</v>
      </c>
      <c r="C273">
        <v>42.6</v>
      </c>
      <c r="D273">
        <v>11756</v>
      </c>
      <c r="E273" s="2" t="s">
        <v>34</v>
      </c>
      <c r="F273" s="2">
        <f t="shared" si="13"/>
        <v>275.96244131455398</v>
      </c>
      <c r="G273" s="2">
        <f t="shared" si="14"/>
        <v>6.3963963963963959</v>
      </c>
      <c r="H273" s="2" t="str">
        <f t="shared" si="12"/>
        <v>2 pihenő</v>
      </c>
    </row>
    <row r="274" spans="1:8" x14ac:dyDescent="0.25">
      <c r="A274" s="1">
        <v>39331</v>
      </c>
      <c r="B274">
        <v>610</v>
      </c>
      <c r="C274">
        <v>43.87</v>
      </c>
      <c r="D274">
        <v>12235</v>
      </c>
      <c r="E274" s="2" t="s">
        <v>34</v>
      </c>
      <c r="F274" s="2">
        <f t="shared" si="13"/>
        <v>278.89218144517895</v>
      </c>
      <c r="G274" s="2">
        <f t="shared" si="14"/>
        <v>7.1918032786885249</v>
      </c>
      <c r="H274" s="2" t="str">
        <f t="shared" si="12"/>
        <v>2 pihenő</v>
      </c>
    </row>
    <row r="275" spans="1:8" x14ac:dyDescent="0.25">
      <c r="A275" s="1">
        <v>39340</v>
      </c>
      <c r="B275">
        <v>609</v>
      </c>
      <c r="C275">
        <v>45.68</v>
      </c>
      <c r="D275">
        <v>12235</v>
      </c>
      <c r="E275" s="2" t="s">
        <v>34</v>
      </c>
      <c r="F275" s="2">
        <f t="shared" si="13"/>
        <v>267.84150612959718</v>
      </c>
      <c r="G275" s="2">
        <f t="shared" si="14"/>
        <v>7.500821018062398</v>
      </c>
      <c r="H275" s="2" t="str">
        <f t="shared" si="12"/>
        <v>2 pihenő</v>
      </c>
    </row>
    <row r="276" spans="1:8" x14ac:dyDescent="0.25">
      <c r="A276" s="1">
        <v>39346</v>
      </c>
      <c r="B276">
        <v>612</v>
      </c>
      <c r="C276">
        <v>43.41</v>
      </c>
      <c r="D276">
        <v>12194</v>
      </c>
      <c r="E276" s="2" t="s">
        <v>34</v>
      </c>
      <c r="F276" s="2">
        <f t="shared" si="13"/>
        <v>280.90301773784847</v>
      </c>
      <c r="G276" s="2">
        <f t="shared" si="14"/>
        <v>7.0931372549019596</v>
      </c>
      <c r="H276" s="2" t="str">
        <f t="shared" si="12"/>
        <v>2 pihenő</v>
      </c>
    </row>
    <row r="277" spans="1:8" x14ac:dyDescent="0.25">
      <c r="A277" s="1">
        <v>39359</v>
      </c>
      <c r="B277">
        <v>625</v>
      </c>
      <c r="C277">
        <v>42.99</v>
      </c>
      <c r="D277">
        <v>12076</v>
      </c>
      <c r="E277" s="2" t="s">
        <v>34</v>
      </c>
      <c r="F277" s="2">
        <f t="shared" si="13"/>
        <v>280.9025354733659</v>
      </c>
      <c r="G277" s="2">
        <f t="shared" si="14"/>
        <v>6.8784000000000001</v>
      </c>
      <c r="H277" s="2" t="str">
        <f t="shared" si="12"/>
        <v>2 pihenő</v>
      </c>
    </row>
    <row r="278" spans="1:8" x14ac:dyDescent="0.25">
      <c r="A278" s="1">
        <v>39375</v>
      </c>
      <c r="B278">
        <v>647</v>
      </c>
      <c r="C278">
        <v>47.19</v>
      </c>
      <c r="D278">
        <v>13067</v>
      </c>
      <c r="E278" s="2" t="s">
        <v>34</v>
      </c>
      <c r="F278" s="2">
        <f t="shared" si="13"/>
        <v>276.90188599279509</v>
      </c>
      <c r="G278" s="2">
        <f t="shared" si="14"/>
        <v>7.293663060278206</v>
      </c>
      <c r="H278" s="2" t="str">
        <f t="shared" si="12"/>
        <v>2 pihenő</v>
      </c>
    </row>
    <row r="279" spans="1:8" x14ac:dyDescent="0.25">
      <c r="A279" s="1">
        <v>39391</v>
      </c>
      <c r="B279">
        <v>572</v>
      </c>
      <c r="C279">
        <v>44.81</v>
      </c>
      <c r="D279">
        <v>12587</v>
      </c>
      <c r="E279" s="2" t="s">
        <v>34</v>
      </c>
      <c r="F279" s="2">
        <f t="shared" si="13"/>
        <v>280.8971211783084</v>
      </c>
      <c r="G279" s="2">
        <f t="shared" si="14"/>
        <v>7.8339160839160842</v>
      </c>
      <c r="H279" s="2" t="str">
        <f t="shared" si="12"/>
        <v>1 pihenő</v>
      </c>
    </row>
    <row r="280" spans="1:8" x14ac:dyDescent="0.25">
      <c r="A280" s="1">
        <v>39399</v>
      </c>
      <c r="B280">
        <v>648</v>
      </c>
      <c r="C280">
        <v>46.92</v>
      </c>
      <c r="D280">
        <v>13368</v>
      </c>
      <c r="E280" s="2" t="s">
        <v>34</v>
      </c>
      <c r="F280" s="2">
        <f t="shared" si="13"/>
        <v>284.91048593350382</v>
      </c>
      <c r="G280" s="2">
        <f t="shared" si="14"/>
        <v>7.2407407407407405</v>
      </c>
      <c r="H280" s="2" t="str">
        <f t="shared" si="12"/>
        <v>2 pihenő</v>
      </c>
    </row>
    <row r="281" spans="1:8" x14ac:dyDescent="0.25">
      <c r="A281" s="1">
        <v>39412</v>
      </c>
      <c r="B281">
        <v>552</v>
      </c>
      <c r="C281">
        <v>44.91</v>
      </c>
      <c r="D281">
        <v>12930</v>
      </c>
      <c r="E281" s="2" t="s">
        <v>34</v>
      </c>
      <c r="F281" s="2">
        <f t="shared" si="13"/>
        <v>287.90915163660657</v>
      </c>
      <c r="G281" s="2">
        <f t="shared" si="14"/>
        <v>8.1358695652173907</v>
      </c>
      <c r="H281" s="2" t="str">
        <f t="shared" si="12"/>
        <v>1 pihenő</v>
      </c>
    </row>
    <row r="282" spans="1:8" x14ac:dyDescent="0.25">
      <c r="A282" s="1">
        <v>39424</v>
      </c>
      <c r="B282">
        <v>558</v>
      </c>
      <c r="C282">
        <v>45.15</v>
      </c>
      <c r="D282">
        <v>12999</v>
      </c>
      <c r="E282" s="2" t="s">
        <v>34</v>
      </c>
      <c r="F282" s="2">
        <f t="shared" si="13"/>
        <v>287.90697674418607</v>
      </c>
      <c r="G282" s="2">
        <f t="shared" si="14"/>
        <v>8.091397849462366</v>
      </c>
      <c r="H282" s="2" t="str">
        <f t="shared" si="12"/>
        <v>1 pihenő</v>
      </c>
    </row>
    <row r="283" spans="1:8" x14ac:dyDescent="0.25">
      <c r="A283" s="1">
        <v>39434</v>
      </c>
      <c r="B283">
        <v>534</v>
      </c>
      <c r="C283">
        <v>43.28</v>
      </c>
      <c r="D283">
        <v>12374</v>
      </c>
      <c r="E283" s="2" t="s">
        <v>34</v>
      </c>
      <c r="F283" s="2">
        <f t="shared" si="13"/>
        <v>285.90573012939001</v>
      </c>
      <c r="G283" s="2">
        <f t="shared" si="14"/>
        <v>8.104868913857679</v>
      </c>
      <c r="H283" s="2" t="str">
        <f t="shared" si="12"/>
        <v>1 pihenő</v>
      </c>
    </row>
    <row r="284" spans="1:8" x14ac:dyDescent="0.25">
      <c r="A284" s="1">
        <v>39445</v>
      </c>
      <c r="B284">
        <v>336</v>
      </c>
      <c r="C284">
        <v>28.54</v>
      </c>
      <c r="D284">
        <v>8274</v>
      </c>
      <c r="E284" s="2" t="s">
        <v>45</v>
      </c>
      <c r="F284" s="2">
        <f t="shared" si="13"/>
        <v>289.90889978976878</v>
      </c>
      <c r="G284" s="2">
        <f t="shared" si="14"/>
        <v>8.4940476190476186</v>
      </c>
      <c r="H284" s="2" t="str">
        <f t="shared" si="12"/>
        <v>1 pihenő</v>
      </c>
    </row>
    <row r="285" spans="1:8" x14ac:dyDescent="0.25">
      <c r="A285" s="1">
        <v>39449</v>
      </c>
      <c r="B285">
        <v>386</v>
      </c>
      <c r="C285">
        <v>25.81</v>
      </c>
      <c r="D285">
        <v>7482</v>
      </c>
      <c r="E285" s="2" t="s">
        <v>46</v>
      </c>
      <c r="F285" s="2">
        <f t="shared" si="13"/>
        <v>289.88764044943821</v>
      </c>
      <c r="G285" s="2">
        <f t="shared" si="14"/>
        <v>6.6865284974093262</v>
      </c>
      <c r="H285" s="2" t="str">
        <f t="shared" si="12"/>
        <v>1 pihenő</v>
      </c>
    </row>
    <row r="286" spans="1:8" x14ac:dyDescent="0.25">
      <c r="A286" s="1">
        <v>39457</v>
      </c>
      <c r="B286">
        <v>576</v>
      </c>
      <c r="C286">
        <v>42.63</v>
      </c>
      <c r="D286">
        <v>12358</v>
      </c>
      <c r="E286" s="2" t="s">
        <v>34</v>
      </c>
      <c r="F286" s="2">
        <f t="shared" si="13"/>
        <v>289.88974900304947</v>
      </c>
      <c r="G286" s="2">
        <f t="shared" si="14"/>
        <v>7.4010416666666679</v>
      </c>
      <c r="H286" s="2" t="str">
        <f t="shared" si="12"/>
        <v>1 pihenő</v>
      </c>
    </row>
    <row r="287" spans="1:8" x14ac:dyDescent="0.25">
      <c r="A287" s="1">
        <v>39472</v>
      </c>
      <c r="B287">
        <v>577</v>
      </c>
      <c r="C287">
        <v>45.29</v>
      </c>
      <c r="D287">
        <v>12994</v>
      </c>
      <c r="E287" s="2" t="s">
        <v>34</v>
      </c>
      <c r="F287" s="2">
        <f t="shared" si="13"/>
        <v>286.90660189887393</v>
      </c>
      <c r="G287" s="2">
        <f t="shared" si="14"/>
        <v>7.8492201039861351</v>
      </c>
      <c r="H287" s="2" t="str">
        <f t="shared" si="12"/>
        <v>1 pihenő</v>
      </c>
    </row>
    <row r="288" spans="1:8" x14ac:dyDescent="0.25">
      <c r="A288" s="1">
        <v>39486</v>
      </c>
      <c r="B288">
        <v>546</v>
      </c>
      <c r="C288">
        <v>43.49</v>
      </c>
      <c r="D288">
        <v>12477</v>
      </c>
      <c r="E288" s="2" t="s">
        <v>34</v>
      </c>
      <c r="F288" s="2">
        <f t="shared" si="13"/>
        <v>286.89353874453894</v>
      </c>
      <c r="G288" s="2">
        <f t="shared" si="14"/>
        <v>7.9652014652014653</v>
      </c>
      <c r="H288" s="2" t="str">
        <f t="shared" si="12"/>
        <v>1 pihenő</v>
      </c>
    </row>
    <row r="289" spans="1:8" x14ac:dyDescent="0.25">
      <c r="A289" s="1">
        <v>39498</v>
      </c>
      <c r="B289">
        <v>563</v>
      </c>
      <c r="C289">
        <v>42.91</v>
      </c>
      <c r="D289">
        <v>12740</v>
      </c>
      <c r="E289" s="2" t="s">
        <v>34</v>
      </c>
      <c r="F289" s="2">
        <f t="shared" si="13"/>
        <v>296.9004893964111</v>
      </c>
      <c r="G289" s="2">
        <f t="shared" si="14"/>
        <v>7.6216696269982229</v>
      </c>
      <c r="H289" s="2" t="str">
        <f t="shared" si="12"/>
        <v>1 pihenő</v>
      </c>
    </row>
    <row r="290" spans="1:8" x14ac:dyDescent="0.25">
      <c r="A290" s="1">
        <v>39510</v>
      </c>
      <c r="B290">
        <v>638</v>
      </c>
      <c r="C290">
        <v>43.45</v>
      </c>
      <c r="D290">
        <v>12987</v>
      </c>
      <c r="E290" s="2" t="s">
        <v>34</v>
      </c>
      <c r="F290" s="2">
        <f t="shared" si="13"/>
        <v>298.89528193325657</v>
      </c>
      <c r="G290" s="2">
        <f t="shared" si="14"/>
        <v>6.8103448275862082</v>
      </c>
      <c r="H290" s="2" t="str">
        <f t="shared" si="12"/>
        <v>2 pihenő</v>
      </c>
    </row>
    <row r="291" spans="1:8" x14ac:dyDescent="0.25">
      <c r="A291" s="1">
        <v>39521</v>
      </c>
      <c r="B291">
        <v>581</v>
      </c>
      <c r="C291">
        <v>45.33</v>
      </c>
      <c r="D291">
        <v>13504</v>
      </c>
      <c r="E291" s="2" t="s">
        <v>34</v>
      </c>
      <c r="F291" s="2">
        <f t="shared" si="13"/>
        <v>297.90425766600487</v>
      </c>
      <c r="G291" s="2">
        <f t="shared" si="14"/>
        <v>7.8020654044750417</v>
      </c>
      <c r="H291" s="2" t="str">
        <f t="shared" si="12"/>
        <v>1 pihenő</v>
      </c>
    </row>
    <row r="292" spans="1:8" x14ac:dyDescent="0.25">
      <c r="A292" s="1">
        <v>39536</v>
      </c>
      <c r="B292">
        <v>478</v>
      </c>
      <c r="C292">
        <v>35.93</v>
      </c>
      <c r="D292">
        <v>10740</v>
      </c>
      <c r="E292" s="2" t="s">
        <v>42</v>
      </c>
      <c r="F292" s="2">
        <f t="shared" si="13"/>
        <v>298.91455608126915</v>
      </c>
      <c r="G292" s="2">
        <f t="shared" si="14"/>
        <v>7.51673640167364</v>
      </c>
      <c r="H292" s="2" t="str">
        <f t="shared" si="12"/>
        <v>1 pihenő</v>
      </c>
    </row>
    <row r="293" spans="1:8" x14ac:dyDescent="0.25">
      <c r="A293" s="1">
        <v>39540</v>
      </c>
      <c r="B293">
        <v>627</v>
      </c>
      <c r="C293">
        <v>44.33</v>
      </c>
      <c r="D293">
        <v>12940</v>
      </c>
      <c r="E293" s="2" t="s">
        <v>34</v>
      </c>
      <c r="F293" s="2">
        <f t="shared" si="13"/>
        <v>291.90164674035645</v>
      </c>
      <c r="G293" s="2">
        <f t="shared" si="14"/>
        <v>7.0701754385964906</v>
      </c>
      <c r="H293" s="2" t="str">
        <f t="shared" si="12"/>
        <v>2 pihenő</v>
      </c>
    </row>
    <row r="294" spans="1:8" x14ac:dyDescent="0.25">
      <c r="A294" s="1">
        <v>39547</v>
      </c>
      <c r="B294">
        <v>561</v>
      </c>
      <c r="C294">
        <v>37.29</v>
      </c>
      <c r="D294">
        <v>10885</v>
      </c>
      <c r="E294" s="2" t="s">
        <v>34</v>
      </c>
      <c r="F294" s="2">
        <f t="shared" si="13"/>
        <v>291.90131402520785</v>
      </c>
      <c r="G294" s="2">
        <f t="shared" si="14"/>
        <v>6.6470588235294112</v>
      </c>
      <c r="H294" s="2" t="str">
        <f t="shared" si="12"/>
        <v>1 pihenő</v>
      </c>
    </row>
    <row r="295" spans="1:8" x14ac:dyDescent="0.25">
      <c r="A295" s="1">
        <v>39558</v>
      </c>
      <c r="B295">
        <v>627</v>
      </c>
      <c r="C295">
        <v>43.63</v>
      </c>
      <c r="D295">
        <v>12736</v>
      </c>
      <c r="E295" s="2" t="s">
        <v>34</v>
      </c>
      <c r="F295" s="2">
        <f t="shared" si="13"/>
        <v>291.90923676369471</v>
      </c>
      <c r="G295" s="2">
        <f t="shared" si="14"/>
        <v>6.9585326953748012</v>
      </c>
      <c r="H295" s="2" t="str">
        <f t="shared" si="12"/>
        <v>2 pihenő</v>
      </c>
    </row>
    <row r="296" spans="1:8" x14ac:dyDescent="0.25">
      <c r="A296" s="1">
        <v>39568</v>
      </c>
      <c r="B296">
        <v>558</v>
      </c>
      <c r="C296">
        <v>42.56</v>
      </c>
      <c r="D296">
        <v>12636</v>
      </c>
      <c r="E296" s="2" t="s">
        <v>34</v>
      </c>
      <c r="F296" s="2">
        <f t="shared" si="13"/>
        <v>296.8984962406015</v>
      </c>
      <c r="G296" s="2">
        <f t="shared" si="14"/>
        <v>7.6272401433691766</v>
      </c>
      <c r="H296" s="2" t="str">
        <f t="shared" si="12"/>
        <v>1 pihenő</v>
      </c>
    </row>
    <row r="297" spans="1:8" x14ac:dyDescent="0.25">
      <c r="A297" s="1">
        <v>39586</v>
      </c>
      <c r="B297">
        <v>590</v>
      </c>
      <c r="C297">
        <v>42.63</v>
      </c>
      <c r="D297">
        <v>12998</v>
      </c>
      <c r="E297" s="2" t="s">
        <v>34</v>
      </c>
      <c r="F297" s="2">
        <f t="shared" si="13"/>
        <v>304.90265071545861</v>
      </c>
      <c r="G297" s="2">
        <f t="shared" si="14"/>
        <v>7.2254237288135599</v>
      </c>
      <c r="H297" s="2" t="str">
        <f t="shared" si="12"/>
        <v>1 pihenő</v>
      </c>
    </row>
    <row r="298" spans="1:8" x14ac:dyDescent="0.25">
      <c r="A298" s="1">
        <v>39595</v>
      </c>
      <c r="B298">
        <v>636</v>
      </c>
      <c r="C298">
        <v>42.36</v>
      </c>
      <c r="D298">
        <v>13000</v>
      </c>
      <c r="E298" s="2" t="s">
        <v>34</v>
      </c>
      <c r="F298" s="2">
        <f t="shared" si="13"/>
        <v>306.89329556185083</v>
      </c>
      <c r="G298" s="2">
        <f t="shared" si="14"/>
        <v>6.6603773584905657</v>
      </c>
      <c r="H298" s="2" t="str">
        <f t="shared" si="12"/>
        <v>2 pihenő</v>
      </c>
    </row>
    <row r="299" spans="1:8" x14ac:dyDescent="0.25">
      <c r="A299" s="1">
        <v>39605</v>
      </c>
      <c r="B299">
        <v>490</v>
      </c>
      <c r="C299">
        <v>35.14</v>
      </c>
      <c r="D299">
        <v>10784</v>
      </c>
      <c r="E299" s="2" t="s">
        <v>34</v>
      </c>
      <c r="F299" s="2">
        <f t="shared" si="13"/>
        <v>306.88673875924871</v>
      </c>
      <c r="G299" s="2">
        <f t="shared" si="14"/>
        <v>7.1714285714285717</v>
      </c>
      <c r="H299" s="2" t="str">
        <f t="shared" si="12"/>
        <v>1 pihenő</v>
      </c>
    </row>
    <row r="300" spans="1:8" x14ac:dyDescent="0.25">
      <c r="A300" s="1">
        <v>39610</v>
      </c>
      <c r="B300">
        <v>683</v>
      </c>
      <c r="C300">
        <v>45.92</v>
      </c>
      <c r="D300">
        <v>14093</v>
      </c>
      <c r="E300" s="2" t="s">
        <v>34</v>
      </c>
      <c r="F300" s="2">
        <f t="shared" si="13"/>
        <v>306.90331010452962</v>
      </c>
      <c r="G300" s="2">
        <f t="shared" si="14"/>
        <v>6.7232796486090773</v>
      </c>
      <c r="H300" s="2" t="str">
        <f t="shared" si="12"/>
        <v>2 pihenő</v>
      </c>
    </row>
    <row r="301" spans="1:8" x14ac:dyDescent="0.25">
      <c r="A301" s="1">
        <v>39636</v>
      </c>
      <c r="B301">
        <v>579</v>
      </c>
      <c r="C301">
        <v>42.47</v>
      </c>
      <c r="D301">
        <v>13246</v>
      </c>
      <c r="E301" s="2" t="s">
        <v>34</v>
      </c>
      <c r="F301" s="2">
        <f t="shared" si="13"/>
        <v>311.89074640923008</v>
      </c>
      <c r="G301" s="2">
        <f t="shared" si="14"/>
        <v>7.3350604490500864</v>
      </c>
      <c r="H301" s="2" t="str">
        <f t="shared" si="12"/>
        <v>1 pihenő</v>
      </c>
    </row>
    <row r="302" spans="1:8" x14ac:dyDescent="0.25">
      <c r="A302" s="1">
        <v>39651</v>
      </c>
      <c r="B302">
        <v>544</v>
      </c>
      <c r="C302">
        <v>39.07</v>
      </c>
      <c r="D302">
        <v>12186</v>
      </c>
      <c r="E302" s="2" t="s">
        <v>34</v>
      </c>
      <c r="F302" s="2">
        <f t="shared" si="13"/>
        <v>311.9017148707448</v>
      </c>
      <c r="G302" s="2">
        <f t="shared" si="14"/>
        <v>7.1819852941176476</v>
      </c>
      <c r="H302" s="2" t="str">
        <f t="shared" si="12"/>
        <v>1 pihenő</v>
      </c>
    </row>
    <row r="303" spans="1:8" x14ac:dyDescent="0.25">
      <c r="A303" s="1">
        <v>39657</v>
      </c>
      <c r="B303">
        <v>647</v>
      </c>
      <c r="C303">
        <v>43.48</v>
      </c>
      <c r="D303">
        <v>13387</v>
      </c>
      <c r="E303" s="2" t="s">
        <v>34</v>
      </c>
      <c r="F303" s="2">
        <f t="shared" si="13"/>
        <v>307.88868445262193</v>
      </c>
      <c r="G303" s="2">
        <f t="shared" si="14"/>
        <v>6.7202472952086545</v>
      </c>
      <c r="H303" s="2" t="str">
        <f t="shared" si="12"/>
        <v>2 pihenő</v>
      </c>
    </row>
    <row r="304" spans="1:8" x14ac:dyDescent="0.25">
      <c r="A304" s="1">
        <v>39661</v>
      </c>
      <c r="B304">
        <v>229</v>
      </c>
      <c r="C304">
        <v>16.399999999999999</v>
      </c>
      <c r="D304">
        <v>4935</v>
      </c>
      <c r="E304" s="2" t="s">
        <v>34</v>
      </c>
      <c r="F304" s="2">
        <f t="shared" si="13"/>
        <v>300.91463414634148</v>
      </c>
      <c r="G304" s="2">
        <f t="shared" si="14"/>
        <v>7.1615720524017465</v>
      </c>
      <c r="H304" s="2" t="str">
        <f t="shared" si="12"/>
        <v/>
      </c>
    </row>
    <row r="305" spans="1:8" x14ac:dyDescent="0.25">
      <c r="A305" s="1">
        <v>39667</v>
      </c>
      <c r="B305">
        <v>571</v>
      </c>
      <c r="C305">
        <v>35.22</v>
      </c>
      <c r="D305">
        <v>10566</v>
      </c>
      <c r="E305" s="2" t="s">
        <v>8</v>
      </c>
      <c r="F305" s="2">
        <f t="shared" si="13"/>
        <v>300</v>
      </c>
      <c r="G305" s="2">
        <f t="shared" si="14"/>
        <v>6.168126094570928</v>
      </c>
      <c r="H305" s="2" t="str">
        <f t="shared" si="12"/>
        <v>1 pihenő</v>
      </c>
    </row>
    <row r="306" spans="1:8" x14ac:dyDescent="0.25">
      <c r="A306" s="1">
        <v>39682</v>
      </c>
      <c r="B306">
        <v>607</v>
      </c>
      <c r="C306">
        <v>40.9</v>
      </c>
      <c r="D306">
        <v>12184</v>
      </c>
      <c r="E306" s="2" t="s">
        <v>34</v>
      </c>
      <c r="F306" s="2">
        <f t="shared" si="13"/>
        <v>297.89731051344745</v>
      </c>
      <c r="G306" s="2">
        <f t="shared" si="14"/>
        <v>6.7380560131795715</v>
      </c>
      <c r="H306" s="2" t="str">
        <f t="shared" si="12"/>
        <v>2 pihenő</v>
      </c>
    </row>
    <row r="307" spans="1:8" x14ac:dyDescent="0.25">
      <c r="A307" s="1">
        <v>39683</v>
      </c>
      <c r="B307">
        <v>544</v>
      </c>
      <c r="C307">
        <v>37.51</v>
      </c>
      <c r="D307">
        <v>11489</v>
      </c>
      <c r="E307" s="2" t="s">
        <v>47</v>
      </c>
      <c r="F307" s="2">
        <f t="shared" si="13"/>
        <v>306.29165555851773</v>
      </c>
      <c r="G307" s="2">
        <f t="shared" si="14"/>
        <v>6.8952205882352944</v>
      </c>
      <c r="H307" s="2" t="str">
        <f t="shared" si="12"/>
        <v>1 pihenő</v>
      </c>
    </row>
    <row r="308" spans="1:8" x14ac:dyDescent="0.25">
      <c r="A308" s="1">
        <v>39689</v>
      </c>
      <c r="B308">
        <v>166</v>
      </c>
      <c r="C308">
        <v>11.2</v>
      </c>
      <c r="D308">
        <v>3490</v>
      </c>
      <c r="E308" s="2" t="s">
        <v>48</v>
      </c>
      <c r="F308" s="2">
        <f t="shared" si="13"/>
        <v>311.60714285714289</v>
      </c>
      <c r="G308" s="2">
        <f t="shared" si="14"/>
        <v>6.7469879518072293</v>
      </c>
      <c r="H308" s="2" t="str">
        <f t="shared" si="12"/>
        <v/>
      </c>
    </row>
    <row r="309" spans="1:8" x14ac:dyDescent="0.25">
      <c r="A309" s="1">
        <v>39689</v>
      </c>
      <c r="B309">
        <v>556</v>
      </c>
      <c r="C309">
        <v>37.58</v>
      </c>
      <c r="D309">
        <v>11233</v>
      </c>
      <c r="E309" s="2" t="s">
        <v>49</v>
      </c>
      <c r="F309" s="2">
        <f t="shared" si="13"/>
        <v>298.90899414582225</v>
      </c>
      <c r="G309" s="2">
        <f t="shared" si="14"/>
        <v>6.7589928057553958</v>
      </c>
      <c r="H309" s="2" t="str">
        <f t="shared" si="12"/>
        <v>1 pihenő</v>
      </c>
    </row>
    <row r="310" spans="1:8" x14ac:dyDescent="0.25">
      <c r="A310" s="1">
        <v>39699</v>
      </c>
      <c r="B310">
        <v>614</v>
      </c>
      <c r="C310">
        <v>45.35</v>
      </c>
      <c r="D310">
        <v>13691</v>
      </c>
      <c r="E310" s="2" t="s">
        <v>34</v>
      </c>
      <c r="F310" s="2">
        <f t="shared" si="13"/>
        <v>301.896361631753</v>
      </c>
      <c r="G310" s="2">
        <f t="shared" si="14"/>
        <v>7.3859934853420199</v>
      </c>
      <c r="H310" s="2" t="str">
        <f t="shared" si="12"/>
        <v>2 pihenő</v>
      </c>
    </row>
    <row r="311" spans="1:8" x14ac:dyDescent="0.25">
      <c r="A311" s="1">
        <v>39706</v>
      </c>
      <c r="B311">
        <v>614</v>
      </c>
      <c r="C311">
        <v>42.22</v>
      </c>
      <c r="D311">
        <v>12746</v>
      </c>
      <c r="E311" s="2" t="s">
        <v>34</v>
      </c>
      <c r="F311" s="2">
        <f t="shared" si="13"/>
        <v>301.89483657034583</v>
      </c>
      <c r="G311" s="2">
        <f t="shared" si="14"/>
        <v>6.8762214983713346</v>
      </c>
      <c r="H311" s="2" t="str">
        <f t="shared" si="12"/>
        <v>2 pihenő</v>
      </c>
    </row>
    <row r="312" spans="1:8" x14ac:dyDescent="0.25">
      <c r="A312" s="1">
        <v>39713</v>
      </c>
      <c r="B312">
        <v>601</v>
      </c>
      <c r="C312">
        <v>46.34</v>
      </c>
      <c r="D312">
        <v>13897</v>
      </c>
      <c r="E312" s="2" t="s">
        <v>34</v>
      </c>
      <c r="F312" s="2">
        <f t="shared" si="13"/>
        <v>299.89210185584807</v>
      </c>
      <c r="G312" s="2">
        <f t="shared" si="14"/>
        <v>7.7104825291181376</v>
      </c>
      <c r="H312" s="2" t="str">
        <f t="shared" si="12"/>
        <v>2 pihenő</v>
      </c>
    </row>
    <row r="313" spans="1:8" x14ac:dyDescent="0.25">
      <c r="A313" s="1">
        <v>39729</v>
      </c>
      <c r="B313">
        <v>564</v>
      </c>
      <c r="C313">
        <v>42.3</v>
      </c>
      <c r="D313">
        <v>12432</v>
      </c>
      <c r="E313" s="2" t="s">
        <v>34</v>
      </c>
      <c r="F313" s="2">
        <f t="shared" si="13"/>
        <v>293.90070921985819</v>
      </c>
      <c r="G313" s="2">
        <f t="shared" si="14"/>
        <v>7.5</v>
      </c>
      <c r="H313" s="2" t="str">
        <f t="shared" si="12"/>
        <v>1 pihenő</v>
      </c>
    </row>
    <row r="314" spans="1:8" x14ac:dyDescent="0.25">
      <c r="A314" s="1">
        <v>39741</v>
      </c>
      <c r="B314">
        <v>647</v>
      </c>
      <c r="C314">
        <v>42.3</v>
      </c>
      <c r="D314">
        <v>12474</v>
      </c>
      <c r="E314" s="2" t="s">
        <v>34</v>
      </c>
      <c r="F314" s="2">
        <f t="shared" si="13"/>
        <v>294.89361702127661</v>
      </c>
      <c r="G314" s="2">
        <f t="shared" si="14"/>
        <v>6.5378670788253475</v>
      </c>
      <c r="H314" s="2" t="str">
        <f t="shared" si="12"/>
        <v>2 pihenő</v>
      </c>
    </row>
    <row r="315" spans="1:8" x14ac:dyDescent="0.25">
      <c r="A315" s="1">
        <v>39752</v>
      </c>
      <c r="B315">
        <v>422</v>
      </c>
      <c r="C315">
        <v>31.46</v>
      </c>
      <c r="D315">
        <v>8711</v>
      </c>
      <c r="E315" s="2" t="s">
        <v>50</v>
      </c>
      <c r="F315" s="2">
        <f t="shared" si="13"/>
        <v>276.89129052765418</v>
      </c>
      <c r="G315" s="2">
        <f t="shared" si="14"/>
        <v>7.4549763033175358</v>
      </c>
      <c r="H315" s="2" t="str">
        <f t="shared" si="12"/>
        <v>1 pihenő</v>
      </c>
    </row>
    <row r="316" spans="1:8" x14ac:dyDescent="0.25">
      <c r="A316" s="1">
        <v>39755</v>
      </c>
      <c r="B316">
        <v>593</v>
      </c>
      <c r="C316">
        <v>40.6</v>
      </c>
      <c r="D316">
        <v>10999</v>
      </c>
      <c r="E316" s="2" t="s">
        <v>51</v>
      </c>
      <c r="F316" s="2">
        <f t="shared" si="13"/>
        <v>270.9113300492611</v>
      </c>
      <c r="G316" s="2">
        <f t="shared" si="14"/>
        <v>6.8465430016863404</v>
      </c>
      <c r="H316" s="2" t="str">
        <f t="shared" si="12"/>
        <v>1 pihenő</v>
      </c>
    </row>
    <row r="317" spans="1:8" x14ac:dyDescent="0.25">
      <c r="A317" s="1">
        <v>39765</v>
      </c>
      <c r="B317">
        <v>586</v>
      </c>
      <c r="C317">
        <v>44.22</v>
      </c>
      <c r="D317">
        <v>11493</v>
      </c>
      <c r="E317" s="2" t="s">
        <v>51</v>
      </c>
      <c r="F317" s="2">
        <f t="shared" si="13"/>
        <v>259.90502035278155</v>
      </c>
      <c r="G317" s="2">
        <f t="shared" si="14"/>
        <v>7.5460750853242313</v>
      </c>
      <c r="H317" s="2" t="str">
        <f t="shared" si="12"/>
        <v>1 pihenő</v>
      </c>
    </row>
    <row r="318" spans="1:8" x14ac:dyDescent="0.25">
      <c r="A318" s="1">
        <v>39777</v>
      </c>
      <c r="B318">
        <v>521</v>
      </c>
      <c r="C318">
        <v>42.36</v>
      </c>
      <c r="D318">
        <v>10670</v>
      </c>
      <c r="E318" s="2" t="s">
        <v>52</v>
      </c>
      <c r="F318" s="2">
        <f t="shared" si="13"/>
        <v>251.88857412653448</v>
      </c>
      <c r="G318" s="2">
        <f t="shared" si="14"/>
        <v>8.1305182341650664</v>
      </c>
      <c r="H318" s="2" t="str">
        <f t="shared" si="12"/>
        <v>1 pihenő</v>
      </c>
    </row>
    <row r="319" spans="1:8" x14ac:dyDescent="0.25">
      <c r="A319" s="1">
        <v>39788</v>
      </c>
      <c r="B319">
        <v>564</v>
      </c>
      <c r="C319">
        <v>44.91</v>
      </c>
      <c r="D319">
        <v>10954</v>
      </c>
      <c r="E319" s="2" t="s">
        <v>53</v>
      </c>
      <c r="F319" s="2">
        <f t="shared" si="13"/>
        <v>243.91004230683592</v>
      </c>
      <c r="G319" s="2">
        <f t="shared" si="14"/>
        <v>7.9627659574468073</v>
      </c>
      <c r="H319" s="2" t="str">
        <f t="shared" si="12"/>
        <v>1 pihenő</v>
      </c>
    </row>
    <row r="320" spans="1:8" x14ac:dyDescent="0.25">
      <c r="A320" s="1">
        <v>39795</v>
      </c>
      <c r="B320">
        <v>515</v>
      </c>
      <c r="C320">
        <v>38.479999999999997</v>
      </c>
      <c r="D320">
        <v>9077</v>
      </c>
      <c r="E320" s="2" t="s">
        <v>28</v>
      </c>
      <c r="F320" s="2">
        <f t="shared" si="13"/>
        <v>235.88877338877342</v>
      </c>
      <c r="G320" s="2">
        <f t="shared" si="14"/>
        <v>7.4718446601941739</v>
      </c>
      <c r="H320" s="2" t="str">
        <f t="shared" si="12"/>
        <v>1 pihenő</v>
      </c>
    </row>
    <row r="321" spans="1:8" x14ac:dyDescent="0.25">
      <c r="A321" s="1">
        <v>39820</v>
      </c>
      <c r="B321">
        <v>622</v>
      </c>
      <c r="C321">
        <v>47.71</v>
      </c>
      <c r="D321">
        <v>10778</v>
      </c>
      <c r="E321" s="2" t="s">
        <v>52</v>
      </c>
      <c r="F321" s="2">
        <f t="shared" si="13"/>
        <v>225.90651854957031</v>
      </c>
      <c r="G321" s="2">
        <f t="shared" si="14"/>
        <v>7.670418006430868</v>
      </c>
      <c r="H321" s="2" t="str">
        <f t="shared" si="12"/>
        <v>2 pihenő</v>
      </c>
    </row>
    <row r="322" spans="1:8" x14ac:dyDescent="0.25">
      <c r="A322" s="1">
        <v>39835</v>
      </c>
      <c r="B322">
        <v>605</v>
      </c>
      <c r="C322">
        <v>43.16</v>
      </c>
      <c r="D322">
        <v>10570</v>
      </c>
      <c r="E322" s="2" t="s">
        <v>28</v>
      </c>
      <c r="F322" s="2">
        <f t="shared" si="13"/>
        <v>244.90268767377202</v>
      </c>
      <c r="G322" s="2">
        <f t="shared" si="14"/>
        <v>7.1338842975206607</v>
      </c>
      <c r="H322" s="2" t="str">
        <f t="shared" ref="H322:H385" si="15">IF(B322&lt;600,IF(B322&lt;300,"","1 pihenő"),"2 pihenő")</f>
        <v>2 pihenő</v>
      </c>
    </row>
    <row r="323" spans="1:8" x14ac:dyDescent="0.25">
      <c r="A323" s="1">
        <v>39848</v>
      </c>
      <c r="B323">
        <v>305</v>
      </c>
      <c r="C323">
        <v>21.6</v>
      </c>
      <c r="D323">
        <v>5635</v>
      </c>
      <c r="E323" s="2" t="s">
        <v>8</v>
      </c>
      <c r="F323" s="2">
        <f t="shared" ref="F323:F386" si="16">D323/C323</f>
        <v>260.87962962962962</v>
      </c>
      <c r="G323" s="2">
        <f t="shared" ref="G323:G386" si="17">C323/B323*100</f>
        <v>7.0819672131147549</v>
      </c>
      <c r="H323" s="2" t="str">
        <f t="shared" si="15"/>
        <v>1 pihenő</v>
      </c>
    </row>
    <row r="324" spans="1:8" x14ac:dyDescent="0.25">
      <c r="A324" s="1">
        <v>39852</v>
      </c>
      <c r="B324">
        <v>290</v>
      </c>
      <c r="C324">
        <v>23.05</v>
      </c>
      <c r="D324">
        <v>6014</v>
      </c>
      <c r="E324" s="2" t="s">
        <v>54</v>
      </c>
      <c r="F324" s="2">
        <f t="shared" si="16"/>
        <v>260.91106290672451</v>
      </c>
      <c r="G324" s="2">
        <f t="shared" si="17"/>
        <v>7.9482758620689653</v>
      </c>
      <c r="H324" s="2" t="str">
        <f t="shared" si="15"/>
        <v/>
      </c>
    </row>
    <row r="325" spans="1:8" x14ac:dyDescent="0.25">
      <c r="A325" s="1">
        <v>39858</v>
      </c>
      <c r="B325">
        <v>477.7</v>
      </c>
      <c r="C325">
        <v>36.9</v>
      </c>
      <c r="D325">
        <v>10515</v>
      </c>
      <c r="E325" s="2" t="s">
        <v>55</v>
      </c>
      <c r="F325" s="2">
        <f t="shared" si="16"/>
        <v>284.95934959349597</v>
      </c>
      <c r="G325" s="2">
        <f t="shared" si="17"/>
        <v>7.7245132928616291</v>
      </c>
      <c r="H325" s="2" t="str">
        <f t="shared" si="15"/>
        <v>1 pihenő</v>
      </c>
    </row>
    <row r="326" spans="1:8" x14ac:dyDescent="0.25">
      <c r="A326" s="1">
        <v>39860</v>
      </c>
      <c r="B326">
        <v>528</v>
      </c>
      <c r="C326">
        <v>37.479999999999997</v>
      </c>
      <c r="D326">
        <v>9516</v>
      </c>
      <c r="E326" s="2" t="s">
        <v>51</v>
      </c>
      <c r="F326" s="2">
        <f t="shared" si="16"/>
        <v>253.89541088580577</v>
      </c>
      <c r="G326" s="2">
        <f t="shared" si="17"/>
        <v>7.0984848484848486</v>
      </c>
      <c r="H326" s="2" t="str">
        <f t="shared" si="15"/>
        <v>1 pihenő</v>
      </c>
    </row>
    <row r="327" spans="1:8" x14ac:dyDescent="0.25">
      <c r="A327" s="1">
        <v>39879</v>
      </c>
      <c r="B327">
        <v>572</v>
      </c>
      <c r="C327">
        <v>42.49</v>
      </c>
      <c r="D327">
        <v>10958</v>
      </c>
      <c r="E327" s="2" t="s">
        <v>51</v>
      </c>
      <c r="F327" s="2">
        <f t="shared" si="16"/>
        <v>257.89597552365262</v>
      </c>
      <c r="G327" s="2">
        <f t="shared" si="17"/>
        <v>7.4283216783216783</v>
      </c>
      <c r="H327" s="2" t="str">
        <f t="shared" si="15"/>
        <v>1 pihenő</v>
      </c>
    </row>
    <row r="328" spans="1:8" x14ac:dyDescent="0.25">
      <c r="A328" s="1">
        <v>39902</v>
      </c>
      <c r="B328">
        <v>530</v>
      </c>
      <c r="C328">
        <v>41.15</v>
      </c>
      <c r="D328">
        <v>10654</v>
      </c>
      <c r="E328" s="2" t="s">
        <v>52</v>
      </c>
      <c r="F328" s="2">
        <f t="shared" si="16"/>
        <v>258.906439854192</v>
      </c>
      <c r="G328" s="2">
        <f t="shared" si="17"/>
        <v>7.7641509433962268</v>
      </c>
      <c r="H328" s="2" t="str">
        <f t="shared" si="15"/>
        <v>1 pihenő</v>
      </c>
    </row>
    <row r="329" spans="1:8" x14ac:dyDescent="0.25">
      <c r="A329" s="1">
        <v>39924</v>
      </c>
      <c r="B329">
        <v>461</v>
      </c>
      <c r="C329">
        <v>33.72</v>
      </c>
      <c r="D329">
        <v>8966</v>
      </c>
      <c r="E329" s="2" t="s">
        <v>51</v>
      </c>
      <c r="F329" s="2">
        <f t="shared" si="16"/>
        <v>265.89561091340454</v>
      </c>
      <c r="G329" s="2">
        <f t="shared" si="17"/>
        <v>7.3145336225596536</v>
      </c>
      <c r="H329" s="2" t="str">
        <f t="shared" si="15"/>
        <v>1 pihenő</v>
      </c>
    </row>
    <row r="330" spans="1:8" x14ac:dyDescent="0.25">
      <c r="A330" s="1">
        <v>39940</v>
      </c>
      <c r="B330">
        <v>477</v>
      </c>
      <c r="C330">
        <v>35.46</v>
      </c>
      <c r="D330">
        <v>9464</v>
      </c>
      <c r="E330" s="2" t="s">
        <v>52</v>
      </c>
      <c r="F330" s="2">
        <f t="shared" si="16"/>
        <v>266.89227298364352</v>
      </c>
      <c r="G330" s="2">
        <f t="shared" si="17"/>
        <v>7.433962264150944</v>
      </c>
      <c r="H330" s="2" t="str">
        <f t="shared" si="15"/>
        <v>1 pihenő</v>
      </c>
    </row>
    <row r="331" spans="1:8" x14ac:dyDescent="0.25">
      <c r="A331" s="1">
        <v>39960</v>
      </c>
      <c r="B331">
        <v>593</v>
      </c>
      <c r="C331">
        <v>40.130000000000003</v>
      </c>
      <c r="D331">
        <v>10992</v>
      </c>
      <c r="E331" s="2" t="s">
        <v>28</v>
      </c>
      <c r="F331" s="2">
        <f t="shared" si="16"/>
        <v>273.90979317219035</v>
      </c>
      <c r="G331" s="2">
        <f t="shared" si="17"/>
        <v>6.7672849915682969</v>
      </c>
      <c r="H331" s="2" t="str">
        <f t="shared" si="15"/>
        <v>1 pihenő</v>
      </c>
    </row>
    <row r="332" spans="1:8" x14ac:dyDescent="0.25">
      <c r="A332" s="1">
        <v>39981</v>
      </c>
      <c r="B332">
        <v>607</v>
      </c>
      <c r="C332">
        <v>41.67</v>
      </c>
      <c r="D332">
        <v>12038</v>
      </c>
      <c r="E332" s="2" t="s">
        <v>52</v>
      </c>
      <c r="F332" s="2">
        <f t="shared" si="16"/>
        <v>288.88888888888886</v>
      </c>
      <c r="G332" s="2">
        <f t="shared" si="17"/>
        <v>6.8649093904448106</v>
      </c>
      <c r="H332" s="2" t="str">
        <f t="shared" si="15"/>
        <v>2 pihenő</v>
      </c>
    </row>
    <row r="333" spans="1:8" x14ac:dyDescent="0.25">
      <c r="A333" s="1">
        <v>40001</v>
      </c>
      <c r="B333">
        <v>649.5</v>
      </c>
      <c r="C333">
        <v>46.54</v>
      </c>
      <c r="D333">
        <v>14330</v>
      </c>
      <c r="E333" s="2" t="s">
        <v>51</v>
      </c>
      <c r="F333" s="2">
        <f t="shared" si="16"/>
        <v>307.90717662226041</v>
      </c>
      <c r="G333" s="2">
        <f t="shared" si="17"/>
        <v>7.1655119322555807</v>
      </c>
      <c r="H333" s="2" t="str">
        <f t="shared" si="15"/>
        <v>2 pihenő</v>
      </c>
    </row>
    <row r="334" spans="1:8" x14ac:dyDescent="0.25">
      <c r="A334" s="1">
        <v>40011</v>
      </c>
      <c r="B334">
        <v>580.79999999999995</v>
      </c>
      <c r="C334">
        <v>40.76</v>
      </c>
      <c r="D334">
        <v>11857</v>
      </c>
      <c r="E334" s="2" t="s">
        <v>52</v>
      </c>
      <c r="F334" s="2">
        <f t="shared" si="16"/>
        <v>290.89793915603536</v>
      </c>
      <c r="G334" s="2">
        <f t="shared" si="17"/>
        <v>7.0179063360881546</v>
      </c>
      <c r="H334" s="2" t="str">
        <f t="shared" si="15"/>
        <v>1 pihenő</v>
      </c>
    </row>
    <row r="335" spans="1:8" x14ac:dyDescent="0.25">
      <c r="A335" s="1">
        <v>40025</v>
      </c>
      <c r="B335">
        <v>603</v>
      </c>
      <c r="C335">
        <v>42.05</v>
      </c>
      <c r="D335">
        <v>12401</v>
      </c>
      <c r="E335" s="2" t="s">
        <v>52</v>
      </c>
      <c r="F335" s="2">
        <f t="shared" si="16"/>
        <v>294.91082045184305</v>
      </c>
      <c r="G335" s="2">
        <f t="shared" si="17"/>
        <v>6.9734660033167488</v>
      </c>
      <c r="H335" s="2" t="str">
        <f t="shared" si="15"/>
        <v>2 pihenő</v>
      </c>
    </row>
    <row r="336" spans="1:8" x14ac:dyDescent="0.25">
      <c r="A336" s="1">
        <v>40041</v>
      </c>
      <c r="B336">
        <v>656</v>
      </c>
      <c r="C336">
        <v>46.92</v>
      </c>
      <c r="D336">
        <v>14071</v>
      </c>
      <c r="E336" s="2" t="s">
        <v>56</v>
      </c>
      <c r="F336" s="2">
        <f t="shared" si="16"/>
        <v>299.89343563512358</v>
      </c>
      <c r="G336" s="2">
        <f t="shared" si="17"/>
        <v>7.1524390243902447</v>
      </c>
      <c r="H336" s="2" t="str">
        <f t="shared" si="15"/>
        <v>2 pihenő</v>
      </c>
    </row>
    <row r="337" spans="1:8" x14ac:dyDescent="0.25">
      <c r="A337" s="1">
        <v>40066</v>
      </c>
      <c r="B337">
        <v>519</v>
      </c>
      <c r="C337">
        <v>44.21</v>
      </c>
      <c r="D337">
        <v>12993</v>
      </c>
      <c r="E337" s="2" t="s">
        <v>52</v>
      </c>
      <c r="F337" s="2">
        <f t="shared" si="16"/>
        <v>293.89278443791</v>
      </c>
      <c r="G337" s="2">
        <f t="shared" si="17"/>
        <v>8.5183044315992298</v>
      </c>
      <c r="H337" s="2" t="str">
        <f t="shared" si="15"/>
        <v>1 pihenő</v>
      </c>
    </row>
    <row r="338" spans="1:8" x14ac:dyDescent="0.25">
      <c r="A338" s="1">
        <v>40078</v>
      </c>
      <c r="B338">
        <v>625</v>
      </c>
      <c r="C338">
        <v>43.32</v>
      </c>
      <c r="D338">
        <v>12732</v>
      </c>
      <c r="E338" s="2" t="s">
        <v>52</v>
      </c>
      <c r="F338" s="2">
        <f t="shared" si="16"/>
        <v>293.90581717451522</v>
      </c>
      <c r="G338" s="2">
        <f t="shared" si="17"/>
        <v>6.9311999999999996</v>
      </c>
      <c r="H338" s="2" t="str">
        <f t="shared" si="15"/>
        <v>2 pihenő</v>
      </c>
    </row>
    <row r="339" spans="1:8" x14ac:dyDescent="0.25">
      <c r="A339" s="1">
        <v>40100</v>
      </c>
      <c r="B339">
        <v>616</v>
      </c>
      <c r="C339">
        <v>40.6</v>
      </c>
      <c r="D339">
        <v>11851</v>
      </c>
      <c r="E339" s="2" t="s">
        <v>28</v>
      </c>
      <c r="F339" s="2">
        <f t="shared" si="16"/>
        <v>291.89655172413791</v>
      </c>
      <c r="G339" s="2">
        <f t="shared" si="17"/>
        <v>6.5909090909090917</v>
      </c>
      <c r="H339" s="2" t="str">
        <f t="shared" si="15"/>
        <v>2 pihenő</v>
      </c>
    </row>
    <row r="340" spans="1:8" x14ac:dyDescent="0.25">
      <c r="A340" s="1">
        <v>40119</v>
      </c>
      <c r="B340">
        <v>574</v>
      </c>
      <c r="C340">
        <v>44.2</v>
      </c>
      <c r="D340">
        <v>13035</v>
      </c>
      <c r="E340" s="2" t="s">
        <v>52</v>
      </c>
      <c r="F340" s="2">
        <f t="shared" si="16"/>
        <v>294.90950226244343</v>
      </c>
      <c r="G340" s="2">
        <f t="shared" si="17"/>
        <v>7.7003484320557494</v>
      </c>
      <c r="H340" s="2" t="str">
        <f t="shared" si="15"/>
        <v>1 pihenő</v>
      </c>
    </row>
    <row r="341" spans="1:8" x14ac:dyDescent="0.25">
      <c r="A341" s="1">
        <v>40137</v>
      </c>
      <c r="B341">
        <v>647</v>
      </c>
      <c r="C341">
        <v>46.85</v>
      </c>
      <c r="D341">
        <v>13722</v>
      </c>
      <c r="E341" s="2" t="s">
        <v>56</v>
      </c>
      <c r="F341" s="2">
        <f t="shared" si="16"/>
        <v>292.89220917822837</v>
      </c>
      <c r="G341" s="2">
        <f t="shared" si="17"/>
        <v>7.2411128284389488</v>
      </c>
      <c r="H341" s="2" t="str">
        <f t="shared" si="15"/>
        <v>2 pihenő</v>
      </c>
    </row>
    <row r="342" spans="1:8" x14ac:dyDescent="0.25">
      <c r="A342" s="1">
        <v>40155</v>
      </c>
      <c r="B342">
        <v>690</v>
      </c>
      <c r="C342">
        <v>48.67</v>
      </c>
      <c r="D342">
        <v>14401</v>
      </c>
      <c r="E342" s="2" t="s">
        <v>52</v>
      </c>
      <c r="F342" s="2">
        <f t="shared" si="16"/>
        <v>295.89069241832749</v>
      </c>
      <c r="G342" s="2">
        <f t="shared" si="17"/>
        <v>7.0536231884057967</v>
      </c>
      <c r="H342" s="2" t="str">
        <f t="shared" si="15"/>
        <v>2 pihenő</v>
      </c>
    </row>
    <row r="343" spans="1:8" x14ac:dyDescent="0.25">
      <c r="A343" s="1">
        <v>40166</v>
      </c>
      <c r="B343">
        <v>351</v>
      </c>
      <c r="C343">
        <v>28.38</v>
      </c>
      <c r="D343">
        <v>8313</v>
      </c>
      <c r="E343" s="2" t="s">
        <v>57</v>
      </c>
      <c r="F343" s="2">
        <f t="shared" si="16"/>
        <v>292.91754756871035</v>
      </c>
      <c r="G343" s="2">
        <f t="shared" si="17"/>
        <v>8.0854700854700852</v>
      </c>
      <c r="H343" s="2" t="str">
        <f t="shared" si="15"/>
        <v>1 pihenő</v>
      </c>
    </row>
    <row r="344" spans="1:8" x14ac:dyDescent="0.25">
      <c r="A344" s="1">
        <v>40167</v>
      </c>
      <c r="B344">
        <v>242</v>
      </c>
      <c r="C344">
        <v>16.010000000000002</v>
      </c>
      <c r="D344">
        <v>5440</v>
      </c>
      <c r="E344" s="2" t="s">
        <v>58</v>
      </c>
      <c r="F344" s="2">
        <f t="shared" si="16"/>
        <v>339.78763272954399</v>
      </c>
      <c r="G344" s="2">
        <f t="shared" si="17"/>
        <v>6.615702479338843</v>
      </c>
      <c r="H344" s="2" t="str">
        <f t="shared" si="15"/>
        <v/>
      </c>
    </row>
    <row r="345" spans="1:8" x14ac:dyDescent="0.25">
      <c r="A345" s="1">
        <v>40167</v>
      </c>
      <c r="B345">
        <v>684</v>
      </c>
      <c r="C345">
        <v>45.36</v>
      </c>
      <c r="D345">
        <v>13785</v>
      </c>
      <c r="E345" s="2" t="s">
        <v>52</v>
      </c>
      <c r="F345" s="2">
        <f t="shared" si="16"/>
        <v>303.90211640211641</v>
      </c>
      <c r="G345" s="2">
        <f t="shared" si="17"/>
        <v>6.6315789473684204</v>
      </c>
      <c r="H345" s="2" t="str">
        <f t="shared" si="15"/>
        <v>2 pihenő</v>
      </c>
    </row>
    <row r="346" spans="1:8" x14ac:dyDescent="0.25">
      <c r="A346" s="1">
        <v>40281</v>
      </c>
      <c r="B346">
        <v>516</v>
      </c>
      <c r="C346">
        <v>42.13</v>
      </c>
      <c r="D346">
        <v>14151</v>
      </c>
      <c r="E346" s="2" t="s">
        <v>52</v>
      </c>
      <c r="F346" s="2">
        <f t="shared" si="16"/>
        <v>335.88891526228338</v>
      </c>
      <c r="G346" s="2">
        <f t="shared" si="17"/>
        <v>8.1647286821705425</v>
      </c>
      <c r="H346" s="2" t="str">
        <f t="shared" si="15"/>
        <v>1 pihenő</v>
      </c>
    </row>
    <row r="347" spans="1:8" x14ac:dyDescent="0.25">
      <c r="A347" s="1">
        <v>40307</v>
      </c>
      <c r="B347">
        <v>613</v>
      </c>
      <c r="C347">
        <v>42.1</v>
      </c>
      <c r="D347">
        <v>14604</v>
      </c>
      <c r="E347" s="2" t="s">
        <v>59</v>
      </c>
      <c r="F347" s="2">
        <f t="shared" si="16"/>
        <v>346.88836104513064</v>
      </c>
      <c r="G347" s="2">
        <f t="shared" si="17"/>
        <v>6.8678629690048938</v>
      </c>
      <c r="H347" s="2" t="str">
        <f t="shared" si="15"/>
        <v>2 pihenő</v>
      </c>
    </row>
    <row r="348" spans="1:8" x14ac:dyDescent="0.25">
      <c r="A348" s="1">
        <v>40342</v>
      </c>
      <c r="B348">
        <v>632</v>
      </c>
      <c r="C348">
        <v>38.520000000000003</v>
      </c>
      <c r="D348">
        <v>13401</v>
      </c>
      <c r="E348" s="2" t="s">
        <v>28</v>
      </c>
      <c r="F348" s="2">
        <f t="shared" si="16"/>
        <v>347.89719626168221</v>
      </c>
      <c r="G348" s="2">
        <f t="shared" si="17"/>
        <v>6.09493670886076</v>
      </c>
      <c r="H348" s="2" t="str">
        <f t="shared" si="15"/>
        <v>2 pihenő</v>
      </c>
    </row>
    <row r="349" spans="1:8" x14ac:dyDescent="0.25">
      <c r="A349" s="1">
        <v>40354</v>
      </c>
      <c r="B349">
        <v>691</v>
      </c>
      <c r="C349">
        <v>44</v>
      </c>
      <c r="D349">
        <v>15356</v>
      </c>
      <c r="E349" s="2" t="s">
        <v>8</v>
      </c>
      <c r="F349" s="2">
        <f t="shared" si="16"/>
        <v>349</v>
      </c>
      <c r="G349" s="2">
        <f t="shared" si="17"/>
        <v>6.3675832127351661</v>
      </c>
      <c r="H349" s="2" t="str">
        <f t="shared" si="15"/>
        <v>2 pihenő</v>
      </c>
    </row>
    <row r="350" spans="1:8" x14ac:dyDescent="0.25">
      <c r="A350" s="1">
        <v>40368</v>
      </c>
      <c r="B350">
        <v>592.4</v>
      </c>
      <c r="C350">
        <v>42.2</v>
      </c>
      <c r="D350">
        <v>14314</v>
      </c>
      <c r="E350" s="2" t="s">
        <v>8</v>
      </c>
      <c r="F350" s="2">
        <f t="shared" si="16"/>
        <v>339.19431279620852</v>
      </c>
      <c r="G350" s="2">
        <f t="shared" si="17"/>
        <v>7.1235651586765698</v>
      </c>
      <c r="H350" s="2" t="str">
        <f t="shared" si="15"/>
        <v>1 pihenő</v>
      </c>
    </row>
    <row r="351" spans="1:8" x14ac:dyDescent="0.25">
      <c r="A351" s="1">
        <v>40419</v>
      </c>
      <c r="B351">
        <v>646.79999999999995</v>
      </c>
      <c r="C351">
        <v>43.32</v>
      </c>
      <c r="D351">
        <v>14291</v>
      </c>
      <c r="E351" s="2" t="s">
        <v>8</v>
      </c>
      <c r="F351" s="2">
        <f t="shared" si="16"/>
        <v>329.89381348107111</v>
      </c>
      <c r="G351" s="2">
        <f t="shared" si="17"/>
        <v>6.6975881261595553</v>
      </c>
      <c r="H351" s="2" t="str">
        <f t="shared" si="15"/>
        <v>2 pihenő</v>
      </c>
    </row>
    <row r="352" spans="1:8" x14ac:dyDescent="0.25">
      <c r="A352" s="1">
        <v>40433</v>
      </c>
      <c r="B352">
        <v>670.6</v>
      </c>
      <c r="C352">
        <v>43.65</v>
      </c>
      <c r="D352">
        <v>14793</v>
      </c>
      <c r="E352" s="2" t="s">
        <v>57</v>
      </c>
      <c r="F352" s="2">
        <f t="shared" si="16"/>
        <v>338.90034364261169</v>
      </c>
      <c r="G352" s="2">
        <f t="shared" si="17"/>
        <v>6.5090963316433035</v>
      </c>
      <c r="H352" s="2" t="str">
        <f t="shared" si="15"/>
        <v>2 pihenő</v>
      </c>
    </row>
    <row r="353" spans="1:8" x14ac:dyDescent="0.25">
      <c r="A353" s="1">
        <v>40447</v>
      </c>
      <c r="B353">
        <v>648</v>
      </c>
      <c r="C353">
        <v>42.62</v>
      </c>
      <c r="D353">
        <v>14955</v>
      </c>
      <c r="E353" s="2" t="s">
        <v>59</v>
      </c>
      <c r="F353" s="2">
        <f t="shared" si="16"/>
        <v>350.89160018770531</v>
      </c>
      <c r="G353" s="2">
        <f t="shared" si="17"/>
        <v>6.5771604938271597</v>
      </c>
      <c r="H353" s="2" t="str">
        <f t="shared" si="15"/>
        <v>2 pihenő</v>
      </c>
    </row>
    <row r="354" spans="1:8" x14ac:dyDescent="0.25">
      <c r="A354" s="1">
        <v>40474</v>
      </c>
      <c r="B354">
        <v>643.9</v>
      </c>
      <c r="C354">
        <v>45.17</v>
      </c>
      <c r="D354">
        <v>15263</v>
      </c>
      <c r="E354" s="2" t="s">
        <v>59</v>
      </c>
      <c r="F354" s="2">
        <f t="shared" si="16"/>
        <v>337.90126189949081</v>
      </c>
      <c r="G354" s="2">
        <f t="shared" si="17"/>
        <v>7.0150644510017086</v>
      </c>
      <c r="H354" s="2" t="str">
        <f t="shared" si="15"/>
        <v>2 pihenő</v>
      </c>
    </row>
    <row r="355" spans="1:8" x14ac:dyDescent="0.25">
      <c r="A355" s="1">
        <v>40523</v>
      </c>
      <c r="B355">
        <v>620</v>
      </c>
      <c r="C355">
        <v>46.74</v>
      </c>
      <c r="D355">
        <v>16542</v>
      </c>
      <c r="E355" s="2" t="s">
        <v>60</v>
      </c>
      <c r="F355" s="2">
        <f t="shared" si="16"/>
        <v>353.91527599486517</v>
      </c>
      <c r="G355" s="2">
        <f t="shared" si="17"/>
        <v>7.538709677419356</v>
      </c>
      <c r="H355" s="2" t="str">
        <f t="shared" si="15"/>
        <v>2 pihenő</v>
      </c>
    </row>
    <row r="356" spans="1:8" x14ac:dyDescent="0.25">
      <c r="A356" s="1">
        <v>40538</v>
      </c>
      <c r="B356">
        <v>559</v>
      </c>
      <c r="C356">
        <v>39.619999999999997</v>
      </c>
      <c r="D356">
        <v>14025</v>
      </c>
      <c r="E356" s="2" t="s">
        <v>8</v>
      </c>
      <c r="F356" s="2">
        <f t="shared" si="16"/>
        <v>353.98788490661286</v>
      </c>
      <c r="G356" s="2">
        <f t="shared" si="17"/>
        <v>7.0876565295169947</v>
      </c>
      <c r="H356" s="2" t="str">
        <f t="shared" si="15"/>
        <v>1 pihenő</v>
      </c>
    </row>
    <row r="357" spans="1:8" x14ac:dyDescent="0.25">
      <c r="A357" s="1">
        <v>40560</v>
      </c>
      <c r="B357">
        <v>551</v>
      </c>
      <c r="C357">
        <v>44.39</v>
      </c>
      <c r="D357">
        <v>16197</v>
      </c>
      <c r="E357" s="2" t="s">
        <v>52</v>
      </c>
      <c r="F357" s="2">
        <f t="shared" si="16"/>
        <v>364.8794773597657</v>
      </c>
      <c r="G357" s="2">
        <f t="shared" si="17"/>
        <v>8.0562613430127037</v>
      </c>
      <c r="H357" s="2" t="str">
        <f t="shared" si="15"/>
        <v>1 pihenő</v>
      </c>
    </row>
    <row r="358" spans="1:8" x14ac:dyDescent="0.25">
      <c r="A358" s="1">
        <v>40588</v>
      </c>
      <c r="B358">
        <v>584</v>
      </c>
      <c r="C358">
        <v>43.94</v>
      </c>
      <c r="D358">
        <v>16078</v>
      </c>
      <c r="E358" s="2" t="s">
        <v>28</v>
      </c>
      <c r="F358" s="2">
        <f t="shared" si="16"/>
        <v>365.90805644060083</v>
      </c>
      <c r="G358" s="2">
        <f t="shared" si="17"/>
        <v>7.5239726027397253</v>
      </c>
      <c r="H358" s="2" t="str">
        <f t="shared" si="15"/>
        <v>1 pihenő</v>
      </c>
    </row>
    <row r="359" spans="1:8" x14ac:dyDescent="0.25">
      <c r="A359" s="1">
        <v>40615</v>
      </c>
      <c r="B359">
        <v>559</v>
      </c>
      <c r="C359">
        <v>42.45</v>
      </c>
      <c r="D359">
        <v>15447</v>
      </c>
      <c r="E359" s="2" t="s">
        <v>61</v>
      </c>
      <c r="F359" s="2">
        <f t="shared" si="16"/>
        <v>363.886925795053</v>
      </c>
      <c r="G359" s="2">
        <f t="shared" si="17"/>
        <v>7.5939177101967807</v>
      </c>
      <c r="H359" s="2" t="str">
        <f t="shared" si="15"/>
        <v>1 pihenő</v>
      </c>
    </row>
    <row r="360" spans="1:8" x14ac:dyDescent="0.25">
      <c r="A360" s="1">
        <v>40635</v>
      </c>
      <c r="B360">
        <v>675</v>
      </c>
      <c r="C360">
        <v>51.32</v>
      </c>
      <c r="D360">
        <v>19650</v>
      </c>
      <c r="E360" s="2" t="s">
        <v>28</v>
      </c>
      <c r="F360" s="2">
        <f t="shared" si="16"/>
        <v>382.89166017147312</v>
      </c>
      <c r="G360" s="2">
        <f t="shared" si="17"/>
        <v>7.6029629629629625</v>
      </c>
      <c r="H360" s="2" t="str">
        <f t="shared" si="15"/>
        <v>2 pihenő</v>
      </c>
    </row>
    <row r="361" spans="1:8" x14ac:dyDescent="0.25">
      <c r="A361" s="1">
        <v>40651</v>
      </c>
      <c r="B361">
        <v>565.29999999999995</v>
      </c>
      <c r="C361">
        <v>39.200000000000003</v>
      </c>
      <c r="D361">
        <v>15206</v>
      </c>
      <c r="E361" s="2" t="s">
        <v>28</v>
      </c>
      <c r="F361" s="2">
        <f t="shared" si="16"/>
        <v>387.90816326530609</v>
      </c>
      <c r="G361" s="2">
        <f t="shared" si="17"/>
        <v>6.934371130373254</v>
      </c>
      <c r="H361" s="2" t="str">
        <f t="shared" si="15"/>
        <v>1 pihenő</v>
      </c>
    </row>
    <row r="362" spans="1:8" x14ac:dyDescent="0.25">
      <c r="A362" s="1">
        <v>40661</v>
      </c>
      <c r="B362">
        <v>539.6</v>
      </c>
      <c r="C362">
        <v>37.53</v>
      </c>
      <c r="D362">
        <v>14746</v>
      </c>
      <c r="E362" s="2" t="s">
        <v>62</v>
      </c>
      <c r="F362" s="2">
        <f t="shared" si="16"/>
        <v>392.91233679722887</v>
      </c>
      <c r="G362" s="2">
        <f t="shared" si="17"/>
        <v>6.9551519644180866</v>
      </c>
      <c r="H362" s="2" t="str">
        <f t="shared" si="15"/>
        <v>1 pihenő</v>
      </c>
    </row>
    <row r="363" spans="1:8" x14ac:dyDescent="0.25">
      <c r="A363" s="1">
        <v>40667</v>
      </c>
      <c r="B363">
        <v>663</v>
      </c>
      <c r="C363">
        <v>43.05</v>
      </c>
      <c r="D363">
        <v>16656</v>
      </c>
      <c r="E363" s="2" t="s">
        <v>63</v>
      </c>
      <c r="F363" s="2">
        <f t="shared" si="16"/>
        <v>386.89895470383277</v>
      </c>
      <c r="G363" s="2">
        <f t="shared" si="17"/>
        <v>6.4932126696832571</v>
      </c>
      <c r="H363" s="2" t="str">
        <f t="shared" si="15"/>
        <v>2 pihenő</v>
      </c>
    </row>
    <row r="364" spans="1:8" x14ac:dyDescent="0.25">
      <c r="A364" s="1">
        <v>40671</v>
      </c>
      <c r="B364">
        <v>548</v>
      </c>
      <c r="C364">
        <v>33.57</v>
      </c>
      <c r="D364">
        <v>12787</v>
      </c>
      <c r="E364" s="2" t="s">
        <v>56</v>
      </c>
      <c r="F364" s="2">
        <f t="shared" si="16"/>
        <v>380.90557044980636</v>
      </c>
      <c r="G364" s="2">
        <f t="shared" si="17"/>
        <v>6.1259124087591239</v>
      </c>
      <c r="H364" s="2" t="str">
        <f t="shared" si="15"/>
        <v>1 pihenő</v>
      </c>
    </row>
    <row r="365" spans="1:8" x14ac:dyDescent="0.25">
      <c r="A365" s="1">
        <v>40684</v>
      </c>
      <c r="B365">
        <v>740</v>
      </c>
      <c r="C365">
        <v>47.19</v>
      </c>
      <c r="D365">
        <v>18211</v>
      </c>
      <c r="E365" s="2" t="s">
        <v>18</v>
      </c>
      <c r="F365" s="2">
        <f t="shared" si="16"/>
        <v>385.90803136257682</v>
      </c>
      <c r="G365" s="2">
        <f t="shared" si="17"/>
        <v>6.3770270270270268</v>
      </c>
      <c r="H365" s="2" t="str">
        <f t="shared" si="15"/>
        <v>2 pihenő</v>
      </c>
    </row>
    <row r="366" spans="1:8" x14ac:dyDescent="0.25">
      <c r="A366" s="1">
        <v>40705</v>
      </c>
      <c r="B366">
        <v>733</v>
      </c>
      <c r="C366">
        <v>47.06</v>
      </c>
      <c r="D366">
        <v>17502</v>
      </c>
      <c r="E366" s="2" t="s">
        <v>8</v>
      </c>
      <c r="F366" s="2">
        <f t="shared" si="16"/>
        <v>371.90820229494261</v>
      </c>
      <c r="G366" s="2">
        <f t="shared" si="17"/>
        <v>6.4201909959072312</v>
      </c>
      <c r="H366" s="2" t="str">
        <f t="shared" si="15"/>
        <v>2 pihenő</v>
      </c>
    </row>
    <row r="367" spans="1:8" x14ac:dyDescent="0.25">
      <c r="A367" s="1">
        <v>40705</v>
      </c>
      <c r="B367">
        <v>714.5</v>
      </c>
      <c r="C367">
        <v>43.07</v>
      </c>
      <c r="D367">
        <v>15393</v>
      </c>
      <c r="E367" s="2" t="s">
        <v>64</v>
      </c>
      <c r="F367" s="2">
        <f t="shared" si="16"/>
        <v>357.39493847225447</v>
      </c>
      <c r="G367" s="2">
        <f t="shared" si="17"/>
        <v>6.0279916025192444</v>
      </c>
      <c r="H367" s="2" t="str">
        <f t="shared" si="15"/>
        <v>2 pihenő</v>
      </c>
    </row>
    <row r="368" spans="1:8" x14ac:dyDescent="0.25">
      <c r="A368" s="1">
        <v>40712</v>
      </c>
      <c r="B368">
        <v>519</v>
      </c>
      <c r="C368">
        <v>29.95</v>
      </c>
      <c r="D368">
        <v>11594</v>
      </c>
      <c r="E368" s="2" t="s">
        <v>65</v>
      </c>
      <c r="F368" s="2">
        <f t="shared" si="16"/>
        <v>387.11185308848081</v>
      </c>
      <c r="G368" s="2">
        <f t="shared" si="17"/>
        <v>5.7707129094412331</v>
      </c>
      <c r="H368" s="2" t="str">
        <f t="shared" si="15"/>
        <v>1 pihenő</v>
      </c>
    </row>
    <row r="369" spans="1:8" x14ac:dyDescent="0.25">
      <c r="A369" s="1">
        <v>40718</v>
      </c>
      <c r="B369">
        <v>714</v>
      </c>
      <c r="C369">
        <v>44.01</v>
      </c>
      <c r="D369">
        <v>16499</v>
      </c>
      <c r="E369" s="2" t="s">
        <v>52</v>
      </c>
      <c r="F369" s="2">
        <f t="shared" si="16"/>
        <v>374.89206998409452</v>
      </c>
      <c r="G369" s="2">
        <f t="shared" si="17"/>
        <v>6.1638655462184877</v>
      </c>
      <c r="H369" s="2" t="str">
        <f t="shared" si="15"/>
        <v>2 pihenő</v>
      </c>
    </row>
    <row r="370" spans="1:8" x14ac:dyDescent="0.25">
      <c r="A370" s="1">
        <v>40750</v>
      </c>
      <c r="B370">
        <v>634</v>
      </c>
      <c r="C370">
        <v>43.5</v>
      </c>
      <c r="D370">
        <v>16352</v>
      </c>
      <c r="E370" s="2" t="s">
        <v>66</v>
      </c>
      <c r="F370" s="2">
        <f t="shared" si="16"/>
        <v>375.90804597701151</v>
      </c>
      <c r="G370" s="2">
        <f t="shared" si="17"/>
        <v>6.861198738170347</v>
      </c>
      <c r="H370" s="2" t="str">
        <f t="shared" si="15"/>
        <v>2 pihenő</v>
      </c>
    </row>
    <row r="371" spans="1:8" x14ac:dyDescent="0.25">
      <c r="A371" s="1">
        <v>40790</v>
      </c>
      <c r="B371">
        <v>672</v>
      </c>
      <c r="C371">
        <v>46.23</v>
      </c>
      <c r="D371">
        <v>17193</v>
      </c>
      <c r="E371" s="2" t="s">
        <v>8</v>
      </c>
      <c r="F371" s="2">
        <f t="shared" si="16"/>
        <v>371.90136275146011</v>
      </c>
      <c r="G371" s="2">
        <f t="shared" si="17"/>
        <v>6.8794642857142847</v>
      </c>
      <c r="H371" s="2" t="str">
        <f t="shared" si="15"/>
        <v>2 pihenő</v>
      </c>
    </row>
    <row r="372" spans="1:8" x14ac:dyDescent="0.25">
      <c r="A372" s="1">
        <v>40809</v>
      </c>
      <c r="B372">
        <v>655</v>
      </c>
      <c r="C372">
        <v>43.13</v>
      </c>
      <c r="D372">
        <v>17248</v>
      </c>
      <c r="E372" s="2" t="s">
        <v>28</v>
      </c>
      <c r="F372" s="2">
        <f t="shared" si="16"/>
        <v>399.90725712960813</v>
      </c>
      <c r="G372" s="2">
        <f t="shared" si="17"/>
        <v>6.5847328244274816</v>
      </c>
      <c r="H372" s="2" t="str">
        <f t="shared" si="15"/>
        <v>2 pihenő</v>
      </c>
    </row>
    <row r="373" spans="1:8" x14ac:dyDescent="0.25">
      <c r="A373" s="1">
        <v>40826</v>
      </c>
      <c r="B373">
        <v>619</v>
      </c>
      <c r="C373">
        <v>43.03</v>
      </c>
      <c r="D373">
        <v>16993</v>
      </c>
      <c r="E373" s="2" t="s">
        <v>52</v>
      </c>
      <c r="F373" s="2">
        <f t="shared" si="16"/>
        <v>394.91052753892632</v>
      </c>
      <c r="G373" s="2">
        <f t="shared" si="17"/>
        <v>6.9515347334410338</v>
      </c>
      <c r="H373" s="2" t="str">
        <f t="shared" si="15"/>
        <v>2 pihenő</v>
      </c>
    </row>
    <row r="374" spans="1:8" x14ac:dyDescent="0.25">
      <c r="A374" s="1">
        <v>40845</v>
      </c>
      <c r="B374">
        <v>576</v>
      </c>
      <c r="C374">
        <v>40.06</v>
      </c>
      <c r="D374">
        <v>16421</v>
      </c>
      <c r="E374" s="2" t="s">
        <v>42</v>
      </c>
      <c r="F374" s="2">
        <f t="shared" si="16"/>
        <v>409.91013479780327</v>
      </c>
      <c r="G374" s="2">
        <f t="shared" si="17"/>
        <v>6.9548611111111116</v>
      </c>
      <c r="H374" s="2" t="str">
        <f t="shared" si="15"/>
        <v>1 pihenő</v>
      </c>
    </row>
    <row r="375" spans="1:8" x14ac:dyDescent="0.25">
      <c r="A375" s="1">
        <v>40847</v>
      </c>
      <c r="B375">
        <v>622</v>
      </c>
      <c r="C375">
        <v>40.32</v>
      </c>
      <c r="D375">
        <v>15802</v>
      </c>
      <c r="E375" s="2" t="s">
        <v>67</v>
      </c>
      <c r="F375" s="2">
        <f t="shared" si="16"/>
        <v>391.91468253968253</v>
      </c>
      <c r="G375" s="2">
        <f t="shared" si="17"/>
        <v>6.4823151125401939</v>
      </c>
      <c r="H375" s="2" t="str">
        <f t="shared" si="15"/>
        <v>2 pihenő</v>
      </c>
    </row>
    <row r="376" spans="1:8" x14ac:dyDescent="0.25">
      <c r="A376" s="1">
        <v>40866</v>
      </c>
      <c r="B376">
        <v>606</v>
      </c>
      <c r="C376">
        <v>44.43</v>
      </c>
      <c r="D376">
        <v>17590</v>
      </c>
      <c r="E376" s="2" t="s">
        <v>8</v>
      </c>
      <c r="F376" s="2">
        <f t="shared" si="16"/>
        <v>395.90366869232503</v>
      </c>
      <c r="G376" s="2">
        <f t="shared" si="17"/>
        <v>7.3316831683168315</v>
      </c>
      <c r="H376" s="2" t="str">
        <f t="shared" si="15"/>
        <v>2 pihenő</v>
      </c>
    </row>
    <row r="377" spans="1:8" x14ac:dyDescent="0.25">
      <c r="A377" s="1">
        <v>40882</v>
      </c>
      <c r="B377">
        <v>670</v>
      </c>
      <c r="C377">
        <v>44.26</v>
      </c>
      <c r="D377">
        <v>17921</v>
      </c>
      <c r="E377" s="2" t="s">
        <v>52</v>
      </c>
      <c r="F377" s="2">
        <f t="shared" si="16"/>
        <v>404.90284681427926</v>
      </c>
      <c r="G377" s="2">
        <f t="shared" si="17"/>
        <v>6.6059701492537313</v>
      </c>
      <c r="H377" s="2" t="str">
        <f t="shared" si="15"/>
        <v>2 pihenő</v>
      </c>
    </row>
    <row r="378" spans="1:8" x14ac:dyDescent="0.25">
      <c r="A378" s="1">
        <v>40894</v>
      </c>
      <c r="B378">
        <v>569.29999999999995</v>
      </c>
      <c r="C378">
        <v>42.18</v>
      </c>
      <c r="D378">
        <v>16404</v>
      </c>
      <c r="E378" s="2" t="s">
        <v>8</v>
      </c>
      <c r="F378" s="2">
        <f t="shared" si="16"/>
        <v>388.90469416785209</v>
      </c>
      <c r="G378" s="2">
        <f t="shared" si="17"/>
        <v>7.4090988933778332</v>
      </c>
      <c r="H378" s="2" t="str">
        <f t="shared" si="15"/>
        <v>1 pihenő</v>
      </c>
    </row>
    <row r="379" spans="1:8" x14ac:dyDescent="0.25">
      <c r="A379" s="1">
        <v>40906</v>
      </c>
      <c r="B379">
        <v>452.8</v>
      </c>
      <c r="C379">
        <v>32.71</v>
      </c>
      <c r="D379">
        <v>12884</v>
      </c>
      <c r="E379" s="2" t="s">
        <v>8</v>
      </c>
      <c r="F379" s="2">
        <f t="shared" si="16"/>
        <v>393.88566187710177</v>
      </c>
      <c r="G379" s="2">
        <f t="shared" si="17"/>
        <v>7.2239399293286226</v>
      </c>
      <c r="H379" s="2" t="str">
        <f t="shared" si="15"/>
        <v>1 pihenő</v>
      </c>
    </row>
    <row r="380" spans="1:8" x14ac:dyDescent="0.25">
      <c r="A380" s="1">
        <v>40911</v>
      </c>
      <c r="B380">
        <v>432.7</v>
      </c>
      <c r="C380">
        <v>22.9</v>
      </c>
      <c r="D380">
        <v>9181</v>
      </c>
      <c r="E380" s="2" t="s">
        <v>8</v>
      </c>
      <c r="F380" s="2">
        <f t="shared" si="16"/>
        <v>400.91703056768563</v>
      </c>
      <c r="G380" s="2">
        <f t="shared" si="17"/>
        <v>5.2923503582158542</v>
      </c>
      <c r="H380" s="2" t="str">
        <f t="shared" si="15"/>
        <v>1 pihenő</v>
      </c>
    </row>
    <row r="381" spans="1:8" x14ac:dyDescent="0.25">
      <c r="A381" s="1">
        <v>40933</v>
      </c>
      <c r="B381">
        <v>665</v>
      </c>
      <c r="C381">
        <v>44.87</v>
      </c>
      <c r="D381">
        <v>19065</v>
      </c>
      <c r="E381" s="2" t="s">
        <v>68</v>
      </c>
      <c r="F381" s="2">
        <f t="shared" si="16"/>
        <v>424.89413862268776</v>
      </c>
      <c r="G381" s="2">
        <f t="shared" si="17"/>
        <v>6.7473684210526308</v>
      </c>
      <c r="H381" s="2" t="str">
        <f t="shared" si="15"/>
        <v>2 pihenő</v>
      </c>
    </row>
    <row r="382" spans="1:8" x14ac:dyDescent="0.25">
      <c r="A382" s="1">
        <v>40935</v>
      </c>
      <c r="B382">
        <v>530</v>
      </c>
      <c r="C382">
        <v>37.96</v>
      </c>
      <c r="D382">
        <v>16281</v>
      </c>
      <c r="E382" s="2" t="s">
        <v>52</v>
      </c>
      <c r="F382" s="2">
        <f t="shared" si="16"/>
        <v>428.89884088514225</v>
      </c>
      <c r="G382" s="2">
        <f t="shared" si="17"/>
        <v>7.1622641509433969</v>
      </c>
      <c r="H382" s="2" t="str">
        <f t="shared" si="15"/>
        <v>1 pihenő</v>
      </c>
    </row>
    <row r="383" spans="1:8" x14ac:dyDescent="0.25">
      <c r="A383" s="1">
        <v>40941</v>
      </c>
      <c r="B383">
        <v>587</v>
      </c>
      <c r="C383">
        <v>41.96</v>
      </c>
      <c r="D383">
        <v>17787</v>
      </c>
      <c r="E383" s="2" t="s">
        <v>52</v>
      </c>
      <c r="F383" s="2">
        <f t="shared" si="16"/>
        <v>423.90371782650141</v>
      </c>
      <c r="G383" s="2">
        <f t="shared" si="17"/>
        <v>7.1482112436115841</v>
      </c>
      <c r="H383" s="2" t="str">
        <f t="shared" si="15"/>
        <v>1 pihenő</v>
      </c>
    </row>
    <row r="384" spans="1:8" x14ac:dyDescent="0.25">
      <c r="A384" s="1">
        <v>40942</v>
      </c>
      <c r="B384">
        <v>234.8</v>
      </c>
      <c r="C384">
        <v>18</v>
      </c>
      <c r="D384">
        <v>7594</v>
      </c>
      <c r="E384" s="2" t="s">
        <v>69</v>
      </c>
      <c r="F384" s="2">
        <f t="shared" si="16"/>
        <v>421.88888888888891</v>
      </c>
      <c r="G384" s="2">
        <f t="shared" si="17"/>
        <v>7.6660988074957404</v>
      </c>
      <c r="H384" s="2" t="str">
        <f t="shared" si="15"/>
        <v/>
      </c>
    </row>
    <row r="385" spans="1:8" x14ac:dyDescent="0.25">
      <c r="A385" s="1">
        <v>40944</v>
      </c>
      <c r="B385">
        <v>222.1</v>
      </c>
      <c r="C385">
        <v>16.39</v>
      </c>
      <c r="D385">
        <v>7210</v>
      </c>
      <c r="E385" s="2" t="s">
        <v>54</v>
      </c>
      <c r="F385" s="2">
        <f t="shared" si="16"/>
        <v>439.90237949969492</v>
      </c>
      <c r="G385" s="2">
        <f t="shared" si="17"/>
        <v>7.3795587573165244</v>
      </c>
      <c r="H385" s="2" t="str">
        <f t="shared" si="15"/>
        <v/>
      </c>
    </row>
    <row r="386" spans="1:8" x14ac:dyDescent="0.25">
      <c r="A386" s="1">
        <v>40947</v>
      </c>
      <c r="B386">
        <v>335</v>
      </c>
      <c r="C386">
        <v>24.05</v>
      </c>
      <c r="D386">
        <v>9948</v>
      </c>
      <c r="E386" s="2" t="s">
        <v>65</v>
      </c>
      <c r="F386" s="2">
        <f t="shared" si="16"/>
        <v>413.63825363825362</v>
      </c>
      <c r="G386" s="2">
        <f t="shared" si="17"/>
        <v>7.1791044776119399</v>
      </c>
      <c r="H386" s="2" t="str">
        <f t="shared" ref="H386:H433" si="18">IF(B386&lt;600,IF(B386&lt;300,"","1 pihenő"),"2 pihenő")</f>
        <v>1 pihenő</v>
      </c>
    </row>
    <row r="387" spans="1:8" x14ac:dyDescent="0.25">
      <c r="A387" s="1">
        <v>40948</v>
      </c>
      <c r="B387">
        <v>510.8</v>
      </c>
      <c r="C387">
        <v>34.71</v>
      </c>
      <c r="D387">
        <v>14401</v>
      </c>
      <c r="E387" s="2" t="s">
        <v>70</v>
      </c>
      <c r="F387" s="2">
        <f t="shared" ref="F387:F433" si="19">D387/C387</f>
        <v>414.89484298473059</v>
      </c>
      <c r="G387" s="2">
        <f t="shared" ref="G387:G433" si="20">C387/B387*100</f>
        <v>6.7952231793265465</v>
      </c>
      <c r="H387" s="2" t="str">
        <f t="shared" si="18"/>
        <v>1 pihenő</v>
      </c>
    </row>
    <row r="388" spans="1:8" x14ac:dyDescent="0.25">
      <c r="A388" s="1">
        <v>40960</v>
      </c>
      <c r="B388">
        <v>634</v>
      </c>
      <c r="C388">
        <v>44.9</v>
      </c>
      <c r="D388">
        <v>18719</v>
      </c>
      <c r="E388" s="2" t="s">
        <v>70</v>
      </c>
      <c r="F388" s="2">
        <f t="shared" si="19"/>
        <v>416.90423162583522</v>
      </c>
      <c r="G388" s="2">
        <f t="shared" si="20"/>
        <v>7.0820189274447944</v>
      </c>
      <c r="H388" s="2" t="str">
        <f t="shared" si="18"/>
        <v>2 pihenő</v>
      </c>
    </row>
    <row r="389" spans="1:8" x14ac:dyDescent="0.25">
      <c r="A389" s="1">
        <v>40993</v>
      </c>
      <c r="B389">
        <v>596.70000000000005</v>
      </c>
      <c r="C389">
        <v>43.19</v>
      </c>
      <c r="D389">
        <v>18783</v>
      </c>
      <c r="E389" s="2" t="s">
        <v>71</v>
      </c>
      <c r="F389" s="2">
        <f t="shared" si="19"/>
        <v>434.89233618893263</v>
      </c>
      <c r="G389" s="2">
        <f t="shared" si="20"/>
        <v>7.2381431204960611</v>
      </c>
      <c r="H389" s="2" t="str">
        <f t="shared" si="18"/>
        <v>1 pihenő</v>
      </c>
    </row>
    <row r="390" spans="1:8" x14ac:dyDescent="0.25">
      <c r="A390" s="1">
        <v>41009</v>
      </c>
      <c r="B390">
        <v>558</v>
      </c>
      <c r="C390">
        <v>38.18</v>
      </c>
      <c r="D390">
        <v>17177</v>
      </c>
      <c r="E390" s="2" t="s">
        <v>52</v>
      </c>
      <c r="F390" s="2">
        <f t="shared" si="19"/>
        <v>449.89523310633842</v>
      </c>
      <c r="G390" s="2">
        <f t="shared" si="20"/>
        <v>6.8422939068100357</v>
      </c>
      <c r="H390" s="2" t="str">
        <f t="shared" si="18"/>
        <v>1 pihenő</v>
      </c>
    </row>
    <row r="391" spans="1:8" x14ac:dyDescent="0.25">
      <c r="A391" s="1">
        <v>41031</v>
      </c>
      <c r="B391">
        <v>702</v>
      </c>
      <c r="C391">
        <v>45.02</v>
      </c>
      <c r="D391">
        <v>20259</v>
      </c>
      <c r="E391" s="2" t="s">
        <v>8</v>
      </c>
      <c r="F391" s="2">
        <f t="shared" si="19"/>
        <v>449.99999999999994</v>
      </c>
      <c r="G391" s="2">
        <f t="shared" si="20"/>
        <v>6.4131054131054128</v>
      </c>
      <c r="H391" s="2" t="str">
        <f t="shared" si="18"/>
        <v>2 pihenő</v>
      </c>
    </row>
    <row r="392" spans="1:8" x14ac:dyDescent="0.25">
      <c r="A392" s="1">
        <v>41042</v>
      </c>
      <c r="B392">
        <v>518</v>
      </c>
      <c r="C392">
        <v>33.08</v>
      </c>
      <c r="D392">
        <v>14287</v>
      </c>
      <c r="E392" s="2" t="s">
        <v>72</v>
      </c>
      <c r="F392" s="2">
        <f t="shared" si="19"/>
        <v>431.89238210399037</v>
      </c>
      <c r="G392" s="2">
        <f t="shared" si="20"/>
        <v>6.3861003861003853</v>
      </c>
      <c r="H392" s="2" t="str">
        <f t="shared" si="18"/>
        <v>1 pihenő</v>
      </c>
    </row>
    <row r="393" spans="1:8" x14ac:dyDescent="0.25">
      <c r="A393" s="1">
        <v>41042</v>
      </c>
      <c r="B393">
        <v>628</v>
      </c>
      <c r="C393">
        <v>42.72</v>
      </c>
      <c r="D393">
        <v>18928</v>
      </c>
      <c r="E393" s="2" t="s">
        <v>7</v>
      </c>
      <c r="F393" s="2">
        <f t="shared" si="19"/>
        <v>443.07116104868913</v>
      </c>
      <c r="G393" s="2">
        <f t="shared" si="20"/>
        <v>6.8025477707006372</v>
      </c>
      <c r="H393" s="2" t="str">
        <f t="shared" si="18"/>
        <v>2 pihenő</v>
      </c>
    </row>
    <row r="394" spans="1:8" x14ac:dyDescent="0.25">
      <c r="A394" s="1">
        <v>41049</v>
      </c>
      <c r="B394">
        <v>272</v>
      </c>
      <c r="C394">
        <v>18.93</v>
      </c>
      <c r="D394">
        <v>8180</v>
      </c>
      <c r="E394" s="2" t="s">
        <v>73</v>
      </c>
      <c r="F394" s="2">
        <f t="shared" si="19"/>
        <v>432.11833069202328</v>
      </c>
      <c r="G394" s="2">
        <f t="shared" si="20"/>
        <v>6.9595588235294121</v>
      </c>
      <c r="H394" s="2" t="str">
        <f t="shared" si="18"/>
        <v/>
      </c>
    </row>
    <row r="395" spans="1:8" x14ac:dyDescent="0.25">
      <c r="A395" s="1">
        <v>41050</v>
      </c>
      <c r="B395">
        <v>631</v>
      </c>
      <c r="C395">
        <v>44.09</v>
      </c>
      <c r="D395">
        <v>18557</v>
      </c>
      <c r="E395" s="2" t="s">
        <v>70</v>
      </c>
      <c r="F395" s="2">
        <f t="shared" si="19"/>
        <v>420.88909049671122</v>
      </c>
      <c r="G395" s="2">
        <f t="shared" si="20"/>
        <v>6.9873217115689386</v>
      </c>
      <c r="H395" s="2" t="str">
        <f t="shared" si="18"/>
        <v>2 pihenő</v>
      </c>
    </row>
    <row r="396" spans="1:8" x14ac:dyDescent="0.25">
      <c r="A396" s="1">
        <v>41071</v>
      </c>
      <c r="B396">
        <v>671.4</v>
      </c>
      <c r="C396">
        <v>43.48</v>
      </c>
      <c r="D396">
        <v>18736</v>
      </c>
      <c r="E396" s="2" t="s">
        <v>72</v>
      </c>
      <c r="F396" s="2">
        <f t="shared" si="19"/>
        <v>430.91076356945723</v>
      </c>
      <c r="G396" s="2">
        <f t="shared" si="20"/>
        <v>6.4760202561811138</v>
      </c>
      <c r="H396" s="2" t="str">
        <f t="shared" si="18"/>
        <v>2 pihenő</v>
      </c>
    </row>
    <row r="397" spans="1:8" x14ac:dyDescent="0.25">
      <c r="A397" s="1">
        <v>41076</v>
      </c>
      <c r="B397">
        <v>371.5</v>
      </c>
      <c r="C397">
        <v>24.78</v>
      </c>
      <c r="D397">
        <v>10306</v>
      </c>
      <c r="E397" s="2" t="s">
        <v>8</v>
      </c>
      <c r="F397" s="2">
        <f t="shared" si="19"/>
        <v>415.89991928974979</v>
      </c>
      <c r="G397" s="2">
        <f t="shared" si="20"/>
        <v>6.6702557200538362</v>
      </c>
      <c r="H397" s="2" t="str">
        <f t="shared" si="18"/>
        <v>1 pihenő</v>
      </c>
    </row>
    <row r="398" spans="1:8" x14ac:dyDescent="0.25">
      <c r="A398" s="1">
        <v>41091</v>
      </c>
      <c r="B398">
        <v>597</v>
      </c>
      <c r="C398">
        <v>38.67</v>
      </c>
      <c r="D398">
        <v>15851</v>
      </c>
      <c r="E398" s="2" t="s">
        <v>72</v>
      </c>
      <c r="F398" s="2">
        <f t="shared" si="19"/>
        <v>409.90431859322473</v>
      </c>
      <c r="G398" s="2">
        <f t="shared" si="20"/>
        <v>6.4773869346733663</v>
      </c>
      <c r="H398" s="2" t="str">
        <f t="shared" si="18"/>
        <v>1 pihenő</v>
      </c>
    </row>
    <row r="399" spans="1:8" x14ac:dyDescent="0.25">
      <c r="A399" s="1">
        <v>41091</v>
      </c>
      <c r="B399">
        <v>528</v>
      </c>
      <c r="C399">
        <v>34.17</v>
      </c>
      <c r="D399">
        <v>13691</v>
      </c>
      <c r="E399" s="2" t="s">
        <v>74</v>
      </c>
      <c r="F399" s="2">
        <f t="shared" si="19"/>
        <v>400.67310506292068</v>
      </c>
      <c r="G399" s="2">
        <f t="shared" si="20"/>
        <v>6.4715909090909092</v>
      </c>
      <c r="H399" s="2" t="str">
        <f t="shared" si="18"/>
        <v>1 pihenő</v>
      </c>
    </row>
    <row r="400" spans="1:8" x14ac:dyDescent="0.25">
      <c r="A400" s="1">
        <v>41097</v>
      </c>
      <c r="B400">
        <v>220</v>
      </c>
      <c r="C400">
        <v>16.68</v>
      </c>
      <c r="D400">
        <v>6753</v>
      </c>
      <c r="E400" s="2" t="s">
        <v>75</v>
      </c>
      <c r="F400" s="2">
        <f t="shared" si="19"/>
        <v>404.85611510791369</v>
      </c>
      <c r="G400" s="2">
        <f t="shared" si="20"/>
        <v>7.5818181818181811</v>
      </c>
      <c r="H400" s="2" t="str">
        <f t="shared" si="18"/>
        <v/>
      </c>
    </row>
    <row r="401" spans="1:8" x14ac:dyDescent="0.25">
      <c r="A401" s="1">
        <v>41098</v>
      </c>
      <c r="B401">
        <v>390</v>
      </c>
      <c r="C401">
        <v>22.8</v>
      </c>
      <c r="D401">
        <v>9231</v>
      </c>
      <c r="E401" s="2" t="s">
        <v>76</v>
      </c>
      <c r="F401" s="2">
        <f t="shared" si="19"/>
        <v>404.86842105263156</v>
      </c>
      <c r="G401" s="2">
        <f t="shared" si="20"/>
        <v>5.8461538461538458</v>
      </c>
      <c r="H401" s="2" t="str">
        <f t="shared" si="18"/>
        <v>1 pihenő</v>
      </c>
    </row>
    <row r="402" spans="1:8" x14ac:dyDescent="0.25">
      <c r="A402" s="1">
        <v>41106</v>
      </c>
      <c r="B402">
        <v>523</v>
      </c>
      <c r="C402">
        <v>33.380000000000003</v>
      </c>
      <c r="D402">
        <v>13783</v>
      </c>
      <c r="E402" s="2" t="s">
        <v>70</v>
      </c>
      <c r="F402" s="2">
        <f t="shared" si="19"/>
        <v>412.91192330736965</v>
      </c>
      <c r="G402" s="2">
        <f t="shared" si="20"/>
        <v>6.3824091778202678</v>
      </c>
      <c r="H402" s="2" t="str">
        <f t="shared" si="18"/>
        <v>1 pihenő</v>
      </c>
    </row>
    <row r="403" spans="1:8" x14ac:dyDescent="0.25">
      <c r="A403" s="1">
        <v>41121</v>
      </c>
      <c r="B403">
        <v>571</v>
      </c>
      <c r="C403">
        <v>35.82</v>
      </c>
      <c r="D403">
        <v>15363</v>
      </c>
      <c r="E403" s="2" t="s">
        <v>34</v>
      </c>
      <c r="F403" s="2">
        <f t="shared" si="19"/>
        <v>428.89447236180905</v>
      </c>
      <c r="G403" s="2">
        <f t="shared" si="20"/>
        <v>6.2732049036777582</v>
      </c>
      <c r="H403" s="2" t="str">
        <f t="shared" si="18"/>
        <v>1 pihenő</v>
      </c>
    </row>
    <row r="404" spans="1:8" x14ac:dyDescent="0.25">
      <c r="A404" s="1">
        <v>41123</v>
      </c>
      <c r="B404">
        <v>410</v>
      </c>
      <c r="C404">
        <v>26.66</v>
      </c>
      <c r="D404">
        <v>11061</v>
      </c>
      <c r="E404" s="2" t="s">
        <v>31</v>
      </c>
      <c r="F404" s="2">
        <f t="shared" si="19"/>
        <v>414.89122280570143</v>
      </c>
      <c r="G404" s="2">
        <f t="shared" si="20"/>
        <v>6.5024390243902443</v>
      </c>
      <c r="H404" s="2" t="str">
        <f t="shared" si="18"/>
        <v>1 pihenő</v>
      </c>
    </row>
    <row r="405" spans="1:8" x14ac:dyDescent="0.25">
      <c r="A405" s="1">
        <v>41133</v>
      </c>
      <c r="B405">
        <v>575</v>
      </c>
      <c r="C405">
        <v>35.4</v>
      </c>
      <c r="D405">
        <v>15183</v>
      </c>
      <c r="E405" s="2" t="s">
        <v>25</v>
      </c>
      <c r="F405" s="2">
        <f t="shared" si="19"/>
        <v>428.8983050847458</v>
      </c>
      <c r="G405" s="2">
        <f t="shared" si="20"/>
        <v>6.1565217391304348</v>
      </c>
      <c r="H405" s="2" t="str">
        <f t="shared" si="18"/>
        <v>1 pihenő</v>
      </c>
    </row>
    <row r="406" spans="1:8" x14ac:dyDescent="0.25">
      <c r="A406" s="1">
        <v>41142</v>
      </c>
      <c r="B406">
        <v>626</v>
      </c>
      <c r="C406">
        <v>38.979999999999997</v>
      </c>
      <c r="D406">
        <v>16680</v>
      </c>
      <c r="E406" s="2" t="s">
        <v>70</v>
      </c>
      <c r="F406" s="2">
        <f t="shared" si="19"/>
        <v>427.91174961518732</v>
      </c>
      <c r="G406" s="2">
        <f t="shared" si="20"/>
        <v>6.2268370607028753</v>
      </c>
      <c r="H406" s="2" t="str">
        <f t="shared" si="18"/>
        <v>2 pihenő</v>
      </c>
    </row>
    <row r="407" spans="1:8" x14ac:dyDescent="0.25">
      <c r="A407" s="1">
        <v>41154</v>
      </c>
      <c r="B407">
        <v>377.5</v>
      </c>
      <c r="C407">
        <v>26.23</v>
      </c>
      <c r="D407">
        <v>11355</v>
      </c>
      <c r="E407" s="2" t="s">
        <v>8</v>
      </c>
      <c r="F407" s="2">
        <f t="shared" si="19"/>
        <v>432.90125810141058</v>
      </c>
      <c r="G407" s="2">
        <f t="shared" si="20"/>
        <v>6.9483443708609274</v>
      </c>
      <c r="H407" s="2" t="str">
        <f t="shared" si="18"/>
        <v>1 pihenő</v>
      </c>
    </row>
    <row r="408" spans="1:8" x14ac:dyDescent="0.25">
      <c r="A408" s="1">
        <v>41176</v>
      </c>
      <c r="B408">
        <v>618</v>
      </c>
      <c r="C408">
        <v>42.24</v>
      </c>
      <c r="D408">
        <v>18793</v>
      </c>
      <c r="E408" s="2" t="s">
        <v>28</v>
      </c>
      <c r="F408" s="2">
        <f t="shared" si="19"/>
        <v>444.91003787878788</v>
      </c>
      <c r="G408" s="2">
        <f t="shared" si="20"/>
        <v>6.8349514563106801</v>
      </c>
      <c r="H408" s="2" t="str">
        <f t="shared" si="18"/>
        <v>2 pihenő</v>
      </c>
    </row>
    <row r="409" spans="1:8" x14ac:dyDescent="0.25">
      <c r="A409" s="1">
        <v>41192</v>
      </c>
      <c r="B409">
        <v>618</v>
      </c>
      <c r="C409">
        <v>40.229999999999997</v>
      </c>
      <c r="D409">
        <v>17576</v>
      </c>
      <c r="E409" s="2" t="s">
        <v>28</v>
      </c>
      <c r="F409" s="2">
        <f t="shared" si="19"/>
        <v>436.88789460601544</v>
      </c>
      <c r="G409" s="2">
        <f t="shared" si="20"/>
        <v>6.5097087378640772</v>
      </c>
      <c r="H409" s="2" t="str">
        <f t="shared" si="18"/>
        <v>2 pihenő</v>
      </c>
    </row>
    <row r="410" spans="1:8" x14ac:dyDescent="0.25">
      <c r="A410" s="1">
        <v>41217</v>
      </c>
      <c r="B410">
        <v>542</v>
      </c>
      <c r="C410">
        <v>43.2</v>
      </c>
      <c r="D410">
        <v>17884</v>
      </c>
      <c r="E410" s="2" t="s">
        <v>29</v>
      </c>
      <c r="F410" s="2">
        <f t="shared" si="19"/>
        <v>413.98148148148147</v>
      </c>
      <c r="G410" s="2">
        <f t="shared" si="20"/>
        <v>7.9704797047970484</v>
      </c>
      <c r="H410" s="2" t="str">
        <f t="shared" si="18"/>
        <v>1 pihenő</v>
      </c>
    </row>
    <row r="411" spans="1:8" x14ac:dyDescent="0.25">
      <c r="A411" s="1">
        <v>41224</v>
      </c>
      <c r="B411">
        <v>477</v>
      </c>
      <c r="C411">
        <v>29.99</v>
      </c>
      <c r="D411">
        <v>11756</v>
      </c>
      <c r="E411" s="2" t="s">
        <v>15</v>
      </c>
      <c r="F411" s="2">
        <f t="shared" si="19"/>
        <v>391.99733244414807</v>
      </c>
      <c r="G411" s="2">
        <f t="shared" si="20"/>
        <v>6.2872117400419283</v>
      </c>
      <c r="H411" s="2" t="str">
        <f t="shared" si="18"/>
        <v>1 pihenő</v>
      </c>
    </row>
    <row r="412" spans="1:8" x14ac:dyDescent="0.25">
      <c r="A412" s="1">
        <v>41239</v>
      </c>
      <c r="B412">
        <v>680</v>
      </c>
      <c r="C412">
        <v>46.92</v>
      </c>
      <c r="D412">
        <v>18951</v>
      </c>
      <c r="E412" s="2" t="s">
        <v>70</v>
      </c>
      <c r="F412" s="2">
        <f t="shared" si="19"/>
        <v>403.90025575447567</v>
      </c>
      <c r="G412" s="2">
        <f t="shared" si="20"/>
        <v>6.9</v>
      </c>
      <c r="H412" s="2" t="str">
        <f t="shared" si="18"/>
        <v>2 pihenő</v>
      </c>
    </row>
    <row r="413" spans="1:8" x14ac:dyDescent="0.25">
      <c r="A413" s="1">
        <v>41268</v>
      </c>
      <c r="B413">
        <v>601</v>
      </c>
      <c r="C413">
        <v>45.99</v>
      </c>
      <c r="D413">
        <v>18391</v>
      </c>
      <c r="E413" s="2" t="s">
        <v>75</v>
      </c>
      <c r="F413" s="2">
        <f t="shared" si="19"/>
        <v>399.89128071319851</v>
      </c>
      <c r="G413" s="2">
        <f t="shared" si="20"/>
        <v>7.6522462562396001</v>
      </c>
      <c r="H413" s="2" t="str">
        <f t="shared" si="18"/>
        <v>2 pihenő</v>
      </c>
    </row>
    <row r="414" spans="1:8" x14ac:dyDescent="0.25">
      <c r="A414" s="1">
        <v>41272</v>
      </c>
      <c r="B414">
        <v>357</v>
      </c>
      <c r="C414">
        <v>19.75</v>
      </c>
      <c r="D414">
        <v>8000</v>
      </c>
      <c r="E414" s="2" t="s">
        <v>8</v>
      </c>
      <c r="F414" s="2">
        <f t="shared" si="19"/>
        <v>405.0632911392405</v>
      </c>
      <c r="G414" s="2">
        <f t="shared" si="20"/>
        <v>5.5322128851540615</v>
      </c>
      <c r="H414" s="2" t="str">
        <f t="shared" si="18"/>
        <v>1 pihenő</v>
      </c>
    </row>
    <row r="415" spans="1:8" x14ac:dyDescent="0.25">
      <c r="A415" s="1">
        <v>41278</v>
      </c>
      <c r="B415">
        <v>532</v>
      </c>
      <c r="C415">
        <v>44.8</v>
      </c>
      <c r="D415">
        <v>18408</v>
      </c>
      <c r="E415" s="2" t="s">
        <v>70</v>
      </c>
      <c r="F415" s="2">
        <f t="shared" si="19"/>
        <v>410.89285714285717</v>
      </c>
      <c r="G415" s="2">
        <f t="shared" si="20"/>
        <v>8.4210526315789469</v>
      </c>
      <c r="H415" s="2" t="str">
        <f t="shared" si="18"/>
        <v>1 pihenő</v>
      </c>
    </row>
    <row r="416" spans="1:8" x14ac:dyDescent="0.25">
      <c r="A416" s="1">
        <v>41298</v>
      </c>
      <c r="B416">
        <v>355.6</v>
      </c>
      <c r="C416">
        <v>27.49</v>
      </c>
      <c r="D416">
        <v>11378</v>
      </c>
      <c r="E416" s="2" t="s">
        <v>70</v>
      </c>
      <c r="F416" s="2">
        <f t="shared" si="19"/>
        <v>413.89596216806115</v>
      </c>
      <c r="G416" s="2">
        <f t="shared" si="20"/>
        <v>7.7305961754780643</v>
      </c>
      <c r="H416" s="2" t="str">
        <f t="shared" si="18"/>
        <v>1 pihenő</v>
      </c>
    </row>
    <row r="417" spans="1:8" x14ac:dyDescent="0.25">
      <c r="A417" s="1">
        <v>41313</v>
      </c>
      <c r="B417">
        <v>601</v>
      </c>
      <c r="C417">
        <v>41.5</v>
      </c>
      <c r="D417">
        <v>17000</v>
      </c>
      <c r="E417" s="2" t="s">
        <v>77</v>
      </c>
      <c r="F417" s="2">
        <f t="shared" si="19"/>
        <v>409.63855421686748</v>
      </c>
      <c r="G417" s="2">
        <f t="shared" si="20"/>
        <v>6.9051580698835267</v>
      </c>
      <c r="H417" s="2" t="str">
        <f t="shared" si="18"/>
        <v>2 pihenő</v>
      </c>
    </row>
    <row r="418" spans="1:8" x14ac:dyDescent="0.25">
      <c r="A418" s="1">
        <v>41336</v>
      </c>
      <c r="B418">
        <v>666.8</v>
      </c>
      <c r="C418">
        <v>44.5</v>
      </c>
      <c r="D418">
        <v>18600</v>
      </c>
      <c r="E418" s="2" t="s">
        <v>77</v>
      </c>
      <c r="F418" s="2">
        <f t="shared" si="19"/>
        <v>417.97752808988764</v>
      </c>
      <c r="G418" s="2">
        <f t="shared" si="20"/>
        <v>6.6736652669466112</v>
      </c>
      <c r="H418" s="2" t="str">
        <f t="shared" si="18"/>
        <v>2 pihenő</v>
      </c>
    </row>
    <row r="419" spans="1:8" x14ac:dyDescent="0.25">
      <c r="A419" s="1">
        <v>41399</v>
      </c>
      <c r="B419">
        <v>508</v>
      </c>
      <c r="C419">
        <v>35.270000000000003</v>
      </c>
      <c r="D419">
        <v>14000</v>
      </c>
      <c r="E419" s="2" t="s">
        <v>78</v>
      </c>
      <c r="F419" s="2">
        <f t="shared" si="19"/>
        <v>396.93790757017291</v>
      </c>
      <c r="G419" s="2">
        <f t="shared" si="20"/>
        <v>6.9429133858267722</v>
      </c>
      <c r="H419" s="2" t="str">
        <f t="shared" si="18"/>
        <v>1 pihenő</v>
      </c>
    </row>
    <row r="420" spans="1:8" x14ac:dyDescent="0.25">
      <c r="A420" s="1">
        <v>41412</v>
      </c>
      <c r="B420">
        <v>499</v>
      </c>
      <c r="C420">
        <v>35.53</v>
      </c>
      <c r="D420">
        <v>14000</v>
      </c>
      <c r="E420" s="2" t="s">
        <v>77</v>
      </c>
      <c r="F420" s="2">
        <f t="shared" si="19"/>
        <v>394.03321137067263</v>
      </c>
      <c r="G420" s="2">
        <f t="shared" si="20"/>
        <v>7.1202404809619244</v>
      </c>
      <c r="H420" s="2" t="str">
        <f t="shared" si="18"/>
        <v>1 pihenő</v>
      </c>
    </row>
    <row r="421" spans="1:8" x14ac:dyDescent="0.25">
      <c r="A421" s="1">
        <v>41427</v>
      </c>
      <c r="B421">
        <v>645</v>
      </c>
      <c r="C421">
        <v>47.55</v>
      </c>
      <c r="D421">
        <v>19253</v>
      </c>
      <c r="E421" s="2" t="s">
        <v>8</v>
      </c>
      <c r="F421" s="2">
        <f t="shared" si="19"/>
        <v>404.9001051524711</v>
      </c>
      <c r="G421" s="2">
        <f t="shared" si="20"/>
        <v>7.3720930232558128</v>
      </c>
      <c r="H421" s="2" t="str">
        <f t="shared" si="18"/>
        <v>2 pihenő</v>
      </c>
    </row>
    <row r="422" spans="1:8" x14ac:dyDescent="0.25">
      <c r="A422" s="1">
        <v>41440</v>
      </c>
      <c r="B422">
        <v>497.1</v>
      </c>
      <c r="C422">
        <v>31.02</v>
      </c>
      <c r="D422">
        <v>12622</v>
      </c>
      <c r="E422" s="2" t="s">
        <v>8</v>
      </c>
      <c r="F422" s="2">
        <f t="shared" si="19"/>
        <v>406.89877498388137</v>
      </c>
      <c r="G422" s="2">
        <f t="shared" si="20"/>
        <v>6.2401931200965599</v>
      </c>
      <c r="H422" s="2" t="str">
        <f t="shared" si="18"/>
        <v>1 pihenő</v>
      </c>
    </row>
    <row r="423" spans="1:8" x14ac:dyDescent="0.25">
      <c r="A423" s="1">
        <v>41470</v>
      </c>
      <c r="B423">
        <v>635</v>
      </c>
      <c r="C423">
        <v>41.34</v>
      </c>
      <c r="D423">
        <v>17069</v>
      </c>
      <c r="E423" s="2" t="s">
        <v>70</v>
      </c>
      <c r="F423" s="2">
        <f t="shared" si="19"/>
        <v>412.89308176100627</v>
      </c>
      <c r="G423" s="2">
        <f t="shared" si="20"/>
        <v>6.5102362204724411</v>
      </c>
      <c r="H423" s="2" t="str">
        <f t="shared" si="18"/>
        <v>2 pihenő</v>
      </c>
    </row>
    <row r="424" spans="1:8" x14ac:dyDescent="0.25">
      <c r="A424" s="1">
        <v>41497</v>
      </c>
      <c r="B424">
        <v>480</v>
      </c>
      <c r="C424">
        <v>31.56</v>
      </c>
      <c r="D424">
        <v>13000</v>
      </c>
      <c r="E424" s="2" t="s">
        <v>78</v>
      </c>
      <c r="F424" s="2">
        <f t="shared" si="19"/>
        <v>411.91381495564008</v>
      </c>
      <c r="G424" s="2">
        <f t="shared" si="20"/>
        <v>6.5750000000000002</v>
      </c>
      <c r="H424" s="2" t="str">
        <f t="shared" si="18"/>
        <v>1 pihenő</v>
      </c>
    </row>
    <row r="425" spans="1:8" x14ac:dyDescent="0.25">
      <c r="A425" s="1">
        <v>41501</v>
      </c>
      <c r="B425">
        <v>402.9</v>
      </c>
      <c r="C425">
        <v>28.91</v>
      </c>
      <c r="D425">
        <v>11969</v>
      </c>
      <c r="E425" s="2" t="s">
        <v>8</v>
      </c>
      <c r="F425" s="2">
        <f t="shared" si="19"/>
        <v>414.0089934278796</v>
      </c>
      <c r="G425" s="2">
        <f t="shared" si="20"/>
        <v>7.175477786051129</v>
      </c>
      <c r="H425" s="2" t="str">
        <f t="shared" si="18"/>
        <v>1 pihenő</v>
      </c>
    </row>
    <row r="426" spans="1:8" x14ac:dyDescent="0.25">
      <c r="A426" s="1">
        <v>41514</v>
      </c>
      <c r="B426">
        <v>606.79999999999995</v>
      </c>
      <c r="C426">
        <v>42.85</v>
      </c>
      <c r="D426">
        <v>17779</v>
      </c>
      <c r="E426" s="2" t="s">
        <v>70</v>
      </c>
      <c r="F426" s="2">
        <f t="shared" si="19"/>
        <v>414.91248541423568</v>
      </c>
      <c r="G426" s="2">
        <f t="shared" si="20"/>
        <v>7.0616348055372455</v>
      </c>
      <c r="H426" s="2" t="str">
        <f t="shared" si="18"/>
        <v>2 pihenő</v>
      </c>
    </row>
    <row r="427" spans="1:8" x14ac:dyDescent="0.25">
      <c r="A427" s="1">
        <v>41537</v>
      </c>
      <c r="B427">
        <v>648</v>
      </c>
      <c r="C427">
        <v>44.47</v>
      </c>
      <c r="D427">
        <v>18406</v>
      </c>
      <c r="E427" s="2" t="s">
        <v>34</v>
      </c>
      <c r="F427" s="2">
        <f t="shared" si="19"/>
        <v>413.8970092196987</v>
      </c>
      <c r="G427" s="2">
        <f t="shared" si="20"/>
        <v>6.8626543209876543</v>
      </c>
      <c r="H427" s="2" t="str">
        <f t="shared" si="18"/>
        <v>2 pihenő</v>
      </c>
    </row>
    <row r="428" spans="1:8" x14ac:dyDescent="0.25">
      <c r="A428" s="1">
        <v>41546</v>
      </c>
      <c r="B428">
        <v>520.4</v>
      </c>
      <c r="C428">
        <v>33.46</v>
      </c>
      <c r="D428">
        <v>13738</v>
      </c>
      <c r="E428" s="2" t="s">
        <v>41</v>
      </c>
      <c r="F428" s="2">
        <f t="shared" si="19"/>
        <v>410.57979677226535</v>
      </c>
      <c r="G428" s="2">
        <f t="shared" si="20"/>
        <v>6.4296694850115301</v>
      </c>
      <c r="H428" s="2" t="str">
        <f t="shared" si="18"/>
        <v>1 pihenő</v>
      </c>
    </row>
    <row r="429" spans="1:8" x14ac:dyDescent="0.25">
      <c r="A429" s="1">
        <v>41546</v>
      </c>
      <c r="B429">
        <v>596</v>
      </c>
      <c r="C429">
        <v>39.15</v>
      </c>
      <c r="D429">
        <v>15578</v>
      </c>
      <c r="E429" s="2" t="s">
        <v>8</v>
      </c>
      <c r="F429" s="2">
        <f t="shared" si="19"/>
        <v>397.90549169859514</v>
      </c>
      <c r="G429" s="2">
        <f t="shared" si="20"/>
        <v>6.5687919463087248</v>
      </c>
      <c r="H429" s="2" t="str">
        <f t="shared" si="18"/>
        <v>1 pihenő</v>
      </c>
    </row>
    <row r="430" spans="1:8" x14ac:dyDescent="0.25">
      <c r="A430" s="1">
        <v>41553</v>
      </c>
      <c r="B430">
        <v>537</v>
      </c>
      <c r="C430">
        <v>33.18</v>
      </c>
      <c r="D430">
        <v>13335</v>
      </c>
      <c r="E430" s="2" t="s">
        <v>43</v>
      </c>
      <c r="F430" s="2">
        <f t="shared" si="19"/>
        <v>401.8987341772152</v>
      </c>
      <c r="G430" s="2">
        <f t="shared" si="20"/>
        <v>6.1787709497206702</v>
      </c>
      <c r="H430" s="2" t="str">
        <f t="shared" si="18"/>
        <v>1 pihenő</v>
      </c>
    </row>
    <row r="431" spans="1:8" x14ac:dyDescent="0.25">
      <c r="A431" s="1">
        <v>41574</v>
      </c>
      <c r="B431">
        <v>388</v>
      </c>
      <c r="C431">
        <v>29</v>
      </c>
      <c r="D431">
        <v>11771</v>
      </c>
      <c r="E431" s="2" t="s">
        <v>34</v>
      </c>
      <c r="F431" s="2">
        <f t="shared" si="19"/>
        <v>405.89655172413791</v>
      </c>
      <c r="G431" s="2">
        <f t="shared" si="20"/>
        <v>7.4742268041237114</v>
      </c>
      <c r="H431" s="2" t="str">
        <f t="shared" si="18"/>
        <v>1 pihenő</v>
      </c>
    </row>
    <row r="432" spans="1:8" x14ac:dyDescent="0.25">
      <c r="A432" s="1">
        <v>41579</v>
      </c>
      <c r="B432">
        <v>404</v>
      </c>
      <c r="C432">
        <v>30.22</v>
      </c>
      <c r="D432">
        <v>12327</v>
      </c>
      <c r="E432" s="2" t="s">
        <v>79</v>
      </c>
      <c r="F432" s="2">
        <f t="shared" si="19"/>
        <v>407.9086697551291</v>
      </c>
      <c r="G432" s="2">
        <f t="shared" si="20"/>
        <v>7.4801980198019802</v>
      </c>
      <c r="H432" s="2" t="str">
        <f t="shared" si="18"/>
        <v>1 pihenő</v>
      </c>
    </row>
    <row r="433" spans="1:8" x14ac:dyDescent="0.25">
      <c r="A433" s="1">
        <v>41602</v>
      </c>
      <c r="B433">
        <v>583</v>
      </c>
      <c r="C433">
        <v>37.409999999999997</v>
      </c>
      <c r="D433">
        <v>15260</v>
      </c>
      <c r="E433" s="2" t="s">
        <v>44</v>
      </c>
      <c r="F433" s="2">
        <f t="shared" si="19"/>
        <v>407.91232290831334</v>
      </c>
      <c r="G433" s="2">
        <f t="shared" si="20"/>
        <v>6.4168096054888508</v>
      </c>
      <c r="H433" s="2" t="str">
        <f t="shared" si="18"/>
        <v>1 pihenő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38CD-0E88-4072-A82C-E5BCF6B90C8E}">
  <dimension ref="A1"/>
  <sheetViews>
    <sheetView topLeftCell="A2" workbookViewId="0">
      <selection activeCell="A2" sqref="A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DA643C-066B-4F63-A445-284FB9F23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Munka2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2024-01-08T10:56:40Z</dcterms:created>
  <dcterms:modified xsi:type="dcterms:W3CDTF">2024-01-08T13:19:40Z</dcterms:modified>
</cp:coreProperties>
</file>