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xr:revisionPtr revIDLastSave="0" documentId="13_ncr:1_{E7248C23-26EF-4FFD-A797-CC9E4C32ECA2}" xr6:coauthVersionLast="36" xr6:coauthVersionMax="36" xr10:uidLastSave="{00000000-0000-0000-0000-000000000000}"/>
  <bookViews>
    <workbookView xWindow="0" yWindow="0" windowWidth="14370" windowHeight="7260" xr2:uid="{0566360B-4521-4227-8BB8-CBF293A3F2A4}"/>
  </bookViews>
  <sheets>
    <sheet name="Munka2" sheetId="2" r:id="rId1"/>
    <sheet name="Munka1" sheetId="1" r:id="rId2"/>
  </sheets>
  <definedNames>
    <definedName name="KülsőAdatok_1" localSheetId="0" hidden="1">Munka2!$A$1:$H$51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2" i="2"/>
  <c r="B41" i="2" l="1"/>
  <c r="B42" i="2" s="1"/>
  <c r="D4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560D621-378E-41B7-85F6-253DE0D57677}" keepAlive="1" name="Lekérdezés - jarmu" description="A munkafüzetben levő „jarmu” lekérdezés kapcsolata" type="5" refreshedVersion="6" background="1" saveData="1">
    <dbPr connection="Provider=Microsoft.Mashup.OleDb.1;Data Source=$Workbook$;Location=jarmu;Extended Properties=&quot;&quot;" command="SELECT * FROM [jarmu]"/>
  </connection>
</connections>
</file>

<file path=xl/sharedStrings.xml><?xml version="1.0" encoding="utf-8"?>
<sst xmlns="http://schemas.openxmlformats.org/spreadsheetml/2006/main" count="280" uniqueCount="57">
  <si>
    <t>Azonosító</t>
  </si>
  <si>
    <t>Hengerűrtartalom</t>
  </si>
  <si>
    <t>Gyártás éve</t>
  </si>
  <si>
    <t>Megtett út</t>
  </si>
  <si>
    <t>Átlagfogyasztás</t>
  </si>
  <si>
    <t>Fogyasztott üzemanyag</t>
  </si>
  <si>
    <t>Kor</t>
  </si>
  <si>
    <t>Állapot</t>
  </si>
  <si>
    <t>C-13</t>
  </si>
  <si>
    <t>C-78</t>
  </si>
  <si>
    <t>D-66</t>
  </si>
  <si>
    <t>B-82</t>
  </si>
  <si>
    <t>B-92</t>
  </si>
  <si>
    <t>B-47</t>
  </si>
  <si>
    <t>B-48</t>
  </si>
  <si>
    <t>D-35</t>
  </si>
  <si>
    <t>B-52</t>
  </si>
  <si>
    <t>C-88</t>
  </si>
  <si>
    <t>B-38</t>
  </si>
  <si>
    <t>C-31</t>
  </si>
  <si>
    <t>C-79</t>
  </si>
  <si>
    <t>D-44</t>
  </si>
  <si>
    <t>B-43</t>
  </si>
  <si>
    <t>B-53</t>
  </si>
  <si>
    <t>B-41</t>
  </si>
  <si>
    <t>C-42</t>
  </si>
  <si>
    <t>B-75</t>
  </si>
  <si>
    <t>C-36</t>
  </si>
  <si>
    <t>D-74</t>
  </si>
  <si>
    <t>B-86</t>
  </si>
  <si>
    <t>B-17</t>
  </si>
  <si>
    <t>B-14</t>
  </si>
  <si>
    <t>B-39</t>
  </si>
  <si>
    <t>C-51</t>
  </si>
  <si>
    <t>B-27</t>
  </si>
  <si>
    <t>D-12</t>
  </si>
  <si>
    <t>C-77</t>
  </si>
  <si>
    <t>C-73</t>
  </si>
  <si>
    <t>D-34</t>
  </si>
  <si>
    <t>D-18</t>
  </si>
  <si>
    <t>C-87</t>
  </si>
  <si>
    <t>B-91</t>
  </si>
  <si>
    <t>B-37</t>
  </si>
  <si>
    <t>C-24</t>
  </si>
  <si>
    <t>B-24</t>
  </si>
  <si>
    <t>C-68</t>
  </si>
  <si>
    <t>Legtöbb út</t>
  </si>
  <si>
    <t>Átlagos út</t>
  </si>
  <si>
    <t>Darab</t>
  </si>
  <si>
    <t>2011</t>
  </si>
  <si>
    <t/>
  </si>
  <si>
    <t>2008</t>
  </si>
  <si>
    <t>2012</t>
  </si>
  <si>
    <t>2009</t>
  </si>
  <si>
    <t>2006</t>
  </si>
  <si>
    <t>2010</t>
  </si>
  <si>
    <t>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</si>
</sst>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238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vertic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KülsőAdatok_1" connectionId="1" xr16:uid="{0B32D3F3-7328-4DE7-9115-181A5982E018}" autoFormatId="16" applyNumberFormats="0" applyBorderFormats="0" applyFontFormats="0" applyPatternFormats="0" applyAlignmentFormats="0" applyWidthHeightFormats="0">
  <queryTableRefresh nextId="9">
    <queryTableFields count="8">
      <queryTableField id="1" name="Azonosító" tableColumnId="1"/>
      <queryTableField id="2" name="Hengerűrtartalom" tableColumnId="2"/>
      <queryTableField id="3" name="Gyártás éve" tableColumnId="3"/>
      <queryTableField id="4" name="Megtett út" tableColumnId="4"/>
      <queryTableField id="5" name="Átlagfogyasztás" tableColumnId="5"/>
      <queryTableField id="6" name="Fogyasztott üzemanyag" tableColumnId="6"/>
      <queryTableField id="7" name="Kor" tableColumnId="7"/>
      <queryTableField id="8" name="Állapot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3A7FB8-92C8-4F07-9AE5-F4AB6D5AD208}" name="jarmu" displayName="jarmu" ref="A1:H51" tableType="queryTable" totalsRowShown="0">
  <autoFilter ref="A1:H51" xr:uid="{1E652DC7-8300-4863-8B71-3221AD7A3DE3}"/>
  <tableColumns count="8">
    <tableColumn id="1" xr3:uid="{EA382EF4-C9EC-46FC-9991-74D7D93EE1A4}" uniqueName="1" name="Azonosító" queryTableFieldId="1"/>
    <tableColumn id="2" xr3:uid="{1932C3C8-06AB-4CE7-A0DE-0D5FF020684D}" uniqueName="2" name="Hengerűrtartalom" queryTableFieldId="2"/>
    <tableColumn id="3" xr3:uid="{597D71D0-6AD8-4C60-B051-3C5367008902}" uniqueName="3" name="Gyártás éve" queryTableFieldId="3"/>
    <tableColumn id="4" xr3:uid="{0EEDB418-5D0C-4960-923F-E417ED3CE2B5}" uniqueName="4" name="Megtett út" queryTableFieldId="4"/>
    <tableColumn id="5" xr3:uid="{3A9A5368-1F43-4095-B3E7-0F001E5F47FE}" uniqueName="5" name="Átlagfogyasztás" queryTableFieldId="5"/>
    <tableColumn id="6" xr3:uid="{9F4D84DC-8C1D-4524-AE3F-385F4892045D}" uniqueName="6" name="Fogyasztott üzemanyag" queryTableFieldId="6"/>
    <tableColumn id="7" xr3:uid="{890DBBE6-0582-4B83-AC55-8069B97EB357}" uniqueName="7" name="Kor" queryTableFieldId="7"/>
    <tableColumn id="8" xr3:uid="{023EB78E-E37B-4C74-9EE0-05080A5A3023}" uniqueName="8" name="Állapot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DBB32-0753-4683-BA5D-41FCCE75DEB9}">
  <dimension ref="A1:N51"/>
  <sheetViews>
    <sheetView tabSelected="1" zoomScale="85" zoomScaleNormal="85" workbookViewId="0">
      <selection activeCell="P15" sqref="P15"/>
    </sheetView>
  </sheetViews>
  <sheetFormatPr defaultRowHeight="15"/>
  <cols>
    <col min="1" max="1" width="12.140625" bestFit="1" customWidth="1"/>
    <col min="2" max="2" width="19.28515625" bestFit="1" customWidth="1"/>
    <col min="3" max="3" width="13.7109375" bestFit="1" customWidth="1"/>
    <col min="4" max="4" width="12.85546875" bestFit="1" customWidth="1"/>
    <col min="5" max="5" width="17.140625" bestFit="1" customWidth="1"/>
    <col min="6" max="6" width="24.28515625" bestFit="1" customWidth="1"/>
    <col min="7" max="7" width="6.28515625" bestFit="1" customWidth="1"/>
    <col min="8" max="8" width="9.7109375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L1">
        <v>1</v>
      </c>
      <c r="M1">
        <v>0</v>
      </c>
      <c r="N1">
        <v>7.5</v>
      </c>
    </row>
    <row r="2" spans="1:14">
      <c r="A2" t="s">
        <v>8</v>
      </c>
      <c r="B2">
        <v>1249</v>
      </c>
      <c r="C2" t="s">
        <v>49</v>
      </c>
      <c r="D2">
        <v>45234</v>
      </c>
      <c r="E2" s="2">
        <f>IF(B3&lt;=1000,7.5,IF(B3&lt;=1500,8.2,IF(B3&lt;=2000,9.1,11.8)))</f>
        <v>8.1999999999999993</v>
      </c>
      <c r="F2" t="s">
        <v>50</v>
      </c>
      <c r="G2" t="s">
        <v>50</v>
      </c>
      <c r="H2" t="s">
        <v>50</v>
      </c>
      <c r="L2">
        <v>2</v>
      </c>
      <c r="M2">
        <v>1001</v>
      </c>
      <c r="N2">
        <v>8.1</v>
      </c>
    </row>
    <row r="3" spans="1:14">
      <c r="A3" t="s">
        <v>9</v>
      </c>
      <c r="B3">
        <v>1195</v>
      </c>
      <c r="C3" t="s">
        <v>49</v>
      </c>
      <c r="D3">
        <v>34308</v>
      </c>
      <c r="E3" s="2">
        <f t="shared" ref="E3:E39" si="0">IF(B4&lt;=1000,7.5,IF(B4&lt;=1500,8.2,IF(B4&lt;=2000,9.1,11.8)))</f>
        <v>9.1</v>
      </c>
      <c r="F3" t="s">
        <v>50</v>
      </c>
      <c r="G3" t="s">
        <v>50</v>
      </c>
      <c r="H3" t="s">
        <v>50</v>
      </c>
      <c r="L3">
        <v>3</v>
      </c>
      <c r="M3">
        <v>1501</v>
      </c>
      <c r="N3">
        <v>9.5</v>
      </c>
    </row>
    <row r="4" spans="1:14">
      <c r="A4" t="s">
        <v>10</v>
      </c>
      <c r="B4">
        <v>1599</v>
      </c>
      <c r="C4" t="s">
        <v>51</v>
      </c>
      <c r="D4">
        <v>116953</v>
      </c>
      <c r="E4" s="2">
        <f t="shared" si="0"/>
        <v>11.8</v>
      </c>
      <c r="F4" t="s">
        <v>50</v>
      </c>
      <c r="G4" t="s">
        <v>50</v>
      </c>
      <c r="H4" t="s">
        <v>50</v>
      </c>
      <c r="L4">
        <v>4</v>
      </c>
      <c r="M4">
        <v>2001</v>
      </c>
      <c r="N4">
        <v>11.8</v>
      </c>
    </row>
    <row r="5" spans="1:14">
      <c r="A5" t="s">
        <v>11</v>
      </c>
      <c r="B5">
        <v>2995</v>
      </c>
      <c r="C5" t="s">
        <v>52</v>
      </c>
      <c r="D5">
        <v>8515</v>
      </c>
      <c r="E5" s="2">
        <f t="shared" si="0"/>
        <v>8.1999999999999993</v>
      </c>
      <c r="F5" t="s">
        <v>50</v>
      </c>
      <c r="G5" t="s">
        <v>50</v>
      </c>
      <c r="H5" t="s">
        <v>50</v>
      </c>
    </row>
    <row r="6" spans="1:14">
      <c r="A6" t="s">
        <v>12</v>
      </c>
      <c r="B6">
        <v>1298</v>
      </c>
      <c r="C6" t="s">
        <v>51</v>
      </c>
      <c r="D6">
        <v>238450</v>
      </c>
      <c r="E6" s="2">
        <f t="shared" si="0"/>
        <v>8.1999999999999993</v>
      </c>
      <c r="F6" t="s">
        <v>50</v>
      </c>
      <c r="G6" t="s">
        <v>50</v>
      </c>
      <c r="H6" t="s">
        <v>50</v>
      </c>
    </row>
    <row r="7" spans="1:14">
      <c r="A7" t="s">
        <v>13</v>
      </c>
      <c r="B7">
        <v>1195</v>
      </c>
      <c r="C7" t="s">
        <v>53</v>
      </c>
      <c r="D7">
        <v>192795</v>
      </c>
      <c r="E7" s="2">
        <f t="shared" si="0"/>
        <v>11.8</v>
      </c>
      <c r="F7" t="s">
        <v>50</v>
      </c>
      <c r="G7" t="s">
        <v>50</v>
      </c>
      <c r="H7" t="s">
        <v>50</v>
      </c>
    </row>
    <row r="8" spans="1:14">
      <c r="A8" t="s">
        <v>14</v>
      </c>
      <c r="B8">
        <v>2995</v>
      </c>
      <c r="C8" t="s">
        <v>49</v>
      </c>
      <c r="D8">
        <v>56145</v>
      </c>
      <c r="E8" s="2">
        <f t="shared" si="0"/>
        <v>11.8</v>
      </c>
      <c r="F8" t="s">
        <v>50</v>
      </c>
      <c r="G8" t="s">
        <v>50</v>
      </c>
      <c r="H8" t="s">
        <v>50</v>
      </c>
    </row>
    <row r="9" spans="1:14">
      <c r="A9" t="s">
        <v>15</v>
      </c>
      <c r="B9">
        <v>2995</v>
      </c>
      <c r="C9" t="s">
        <v>54</v>
      </c>
      <c r="D9">
        <v>268943</v>
      </c>
      <c r="E9" s="2">
        <f t="shared" si="0"/>
        <v>11.8</v>
      </c>
      <c r="F9" t="s">
        <v>50</v>
      </c>
      <c r="G9" t="s">
        <v>50</v>
      </c>
      <c r="H9" t="s">
        <v>50</v>
      </c>
    </row>
    <row r="10" spans="1:14">
      <c r="A10" t="s">
        <v>16</v>
      </c>
      <c r="B10">
        <v>2490</v>
      </c>
      <c r="C10" t="s">
        <v>49</v>
      </c>
      <c r="D10">
        <v>52712</v>
      </c>
      <c r="E10" s="2">
        <f t="shared" si="0"/>
        <v>7.5</v>
      </c>
      <c r="F10" t="s">
        <v>50</v>
      </c>
      <c r="G10" t="s">
        <v>50</v>
      </c>
      <c r="H10" t="s">
        <v>50</v>
      </c>
    </row>
    <row r="11" spans="1:14">
      <c r="A11" t="s">
        <v>17</v>
      </c>
      <c r="B11">
        <v>980</v>
      </c>
      <c r="C11" t="s">
        <v>54</v>
      </c>
      <c r="D11">
        <v>278123</v>
      </c>
      <c r="E11" s="2">
        <f t="shared" si="0"/>
        <v>8.1999999999999993</v>
      </c>
      <c r="F11" t="s">
        <v>50</v>
      </c>
      <c r="G11" t="s">
        <v>50</v>
      </c>
      <c r="H11" t="s">
        <v>50</v>
      </c>
    </row>
    <row r="12" spans="1:14">
      <c r="A12" t="s">
        <v>18</v>
      </c>
      <c r="B12">
        <v>1298</v>
      </c>
      <c r="C12" t="s">
        <v>52</v>
      </c>
      <c r="D12">
        <v>9936</v>
      </c>
      <c r="E12" s="2">
        <f t="shared" si="0"/>
        <v>9.1</v>
      </c>
      <c r="F12" t="s">
        <v>50</v>
      </c>
      <c r="G12" t="s">
        <v>50</v>
      </c>
      <c r="H12" t="s">
        <v>50</v>
      </c>
    </row>
    <row r="13" spans="1:14">
      <c r="A13" t="s">
        <v>19</v>
      </c>
      <c r="B13">
        <v>1599</v>
      </c>
      <c r="C13" t="s">
        <v>53</v>
      </c>
      <c r="D13">
        <v>163553</v>
      </c>
      <c r="E13" s="2">
        <f t="shared" si="0"/>
        <v>9.1</v>
      </c>
      <c r="F13" t="s">
        <v>50</v>
      </c>
      <c r="G13" t="s">
        <v>50</v>
      </c>
      <c r="H13" t="s">
        <v>50</v>
      </c>
    </row>
    <row r="14" spans="1:14">
      <c r="A14" t="s">
        <v>20</v>
      </c>
      <c r="B14">
        <v>1995</v>
      </c>
      <c r="C14" t="s">
        <v>53</v>
      </c>
      <c r="D14">
        <v>170791</v>
      </c>
      <c r="E14" s="2">
        <f t="shared" si="0"/>
        <v>9.1</v>
      </c>
      <c r="F14" t="s">
        <v>50</v>
      </c>
      <c r="G14" t="s">
        <v>50</v>
      </c>
      <c r="H14" t="s">
        <v>50</v>
      </c>
    </row>
    <row r="15" spans="1:14">
      <c r="A15" t="s">
        <v>21</v>
      </c>
      <c r="B15">
        <v>1795</v>
      </c>
      <c r="C15" t="s">
        <v>55</v>
      </c>
      <c r="D15">
        <v>57623</v>
      </c>
      <c r="E15" s="2">
        <f t="shared" si="0"/>
        <v>11.8</v>
      </c>
      <c r="F15" t="s">
        <v>50</v>
      </c>
      <c r="G15" t="s">
        <v>50</v>
      </c>
      <c r="H15" t="s">
        <v>50</v>
      </c>
    </row>
    <row r="16" spans="1:14">
      <c r="A16" t="s">
        <v>22</v>
      </c>
      <c r="B16">
        <v>2995</v>
      </c>
      <c r="C16" t="s">
        <v>53</v>
      </c>
      <c r="D16">
        <v>134985</v>
      </c>
      <c r="E16" s="2">
        <f t="shared" si="0"/>
        <v>8.1999999999999993</v>
      </c>
      <c r="F16" t="s">
        <v>50</v>
      </c>
      <c r="G16" t="s">
        <v>50</v>
      </c>
      <c r="H16" t="s">
        <v>50</v>
      </c>
    </row>
    <row r="17" spans="1:8">
      <c r="A17" t="s">
        <v>23</v>
      </c>
      <c r="B17">
        <v>1298</v>
      </c>
      <c r="C17" t="s">
        <v>54</v>
      </c>
      <c r="D17">
        <v>218072</v>
      </c>
      <c r="E17" s="2">
        <f t="shared" si="0"/>
        <v>8.1999999999999993</v>
      </c>
      <c r="F17" t="s">
        <v>50</v>
      </c>
      <c r="G17" t="s">
        <v>50</v>
      </c>
      <c r="H17" t="s">
        <v>50</v>
      </c>
    </row>
    <row r="18" spans="1:8">
      <c r="A18" t="s">
        <v>24</v>
      </c>
      <c r="B18">
        <v>1249</v>
      </c>
      <c r="C18" t="s">
        <v>52</v>
      </c>
      <c r="D18">
        <v>9998</v>
      </c>
      <c r="E18" s="2">
        <f t="shared" si="0"/>
        <v>9.1</v>
      </c>
      <c r="F18" t="s">
        <v>50</v>
      </c>
      <c r="G18" t="s">
        <v>50</v>
      </c>
      <c r="H18" t="s">
        <v>50</v>
      </c>
    </row>
    <row r="19" spans="1:8">
      <c r="A19" t="s">
        <v>25</v>
      </c>
      <c r="B19">
        <v>1599</v>
      </c>
      <c r="C19" t="s">
        <v>51</v>
      </c>
      <c r="D19">
        <v>175273</v>
      </c>
      <c r="E19" s="2">
        <f t="shared" si="0"/>
        <v>11.8</v>
      </c>
      <c r="F19" t="s">
        <v>50</v>
      </c>
      <c r="G19" t="s">
        <v>50</v>
      </c>
      <c r="H19" t="s">
        <v>50</v>
      </c>
    </row>
    <row r="20" spans="1:8">
      <c r="A20" t="s">
        <v>26</v>
      </c>
      <c r="B20">
        <v>2995</v>
      </c>
      <c r="C20" t="s">
        <v>54</v>
      </c>
      <c r="D20">
        <v>199817</v>
      </c>
      <c r="E20" s="2">
        <f t="shared" si="0"/>
        <v>7.5</v>
      </c>
      <c r="F20" t="s">
        <v>50</v>
      </c>
      <c r="G20" t="s">
        <v>50</v>
      </c>
      <c r="H20" t="s">
        <v>50</v>
      </c>
    </row>
    <row r="21" spans="1:8">
      <c r="A21" t="s">
        <v>27</v>
      </c>
      <c r="B21">
        <v>980</v>
      </c>
      <c r="C21" t="s">
        <v>49</v>
      </c>
      <c r="D21">
        <v>50047</v>
      </c>
      <c r="E21" s="2">
        <f t="shared" si="0"/>
        <v>11.8</v>
      </c>
      <c r="F21" t="s">
        <v>50</v>
      </c>
      <c r="G21" t="s">
        <v>50</v>
      </c>
      <c r="H21" t="s">
        <v>50</v>
      </c>
    </row>
    <row r="22" spans="1:8">
      <c r="A22" t="s">
        <v>28</v>
      </c>
      <c r="B22">
        <v>2490</v>
      </c>
      <c r="C22" t="s">
        <v>51</v>
      </c>
      <c r="D22">
        <v>209712</v>
      </c>
      <c r="E22" s="2">
        <f t="shared" si="0"/>
        <v>8.1999999999999993</v>
      </c>
      <c r="F22" t="s">
        <v>50</v>
      </c>
      <c r="G22" t="s">
        <v>50</v>
      </c>
      <c r="H22" t="s">
        <v>50</v>
      </c>
    </row>
    <row r="23" spans="1:8">
      <c r="A23" t="s">
        <v>29</v>
      </c>
      <c r="B23">
        <v>1249</v>
      </c>
      <c r="C23" t="s">
        <v>49</v>
      </c>
      <c r="D23">
        <v>55163</v>
      </c>
      <c r="E23" s="2">
        <f t="shared" si="0"/>
        <v>8.1999999999999993</v>
      </c>
      <c r="F23" t="s">
        <v>50</v>
      </c>
      <c r="G23" t="s">
        <v>50</v>
      </c>
      <c r="H23" t="s">
        <v>50</v>
      </c>
    </row>
    <row r="24" spans="1:8">
      <c r="A24" t="s">
        <v>30</v>
      </c>
      <c r="B24">
        <v>1195</v>
      </c>
      <c r="C24" t="s">
        <v>49</v>
      </c>
      <c r="D24">
        <v>46645</v>
      </c>
      <c r="E24" s="2">
        <f t="shared" si="0"/>
        <v>11.8</v>
      </c>
      <c r="F24" t="s">
        <v>50</v>
      </c>
      <c r="G24" t="s">
        <v>50</v>
      </c>
      <c r="H24" t="s">
        <v>50</v>
      </c>
    </row>
    <row r="25" spans="1:8">
      <c r="A25" t="s">
        <v>31</v>
      </c>
      <c r="B25">
        <v>2995</v>
      </c>
      <c r="C25" t="s">
        <v>55</v>
      </c>
      <c r="D25">
        <v>83178</v>
      </c>
      <c r="E25" s="2">
        <f t="shared" si="0"/>
        <v>9.1</v>
      </c>
      <c r="F25" t="s">
        <v>50</v>
      </c>
      <c r="G25" t="s">
        <v>50</v>
      </c>
      <c r="H25" t="s">
        <v>50</v>
      </c>
    </row>
    <row r="26" spans="1:8">
      <c r="A26" t="s">
        <v>32</v>
      </c>
      <c r="B26">
        <v>1795</v>
      </c>
      <c r="C26" t="s">
        <v>55</v>
      </c>
      <c r="D26">
        <v>131748</v>
      </c>
      <c r="E26" s="2">
        <f t="shared" si="0"/>
        <v>9.1</v>
      </c>
      <c r="F26" t="s">
        <v>50</v>
      </c>
      <c r="G26" t="s">
        <v>50</v>
      </c>
      <c r="H26" t="s">
        <v>50</v>
      </c>
    </row>
    <row r="27" spans="1:8">
      <c r="A27" t="s">
        <v>33</v>
      </c>
      <c r="B27">
        <v>1995</v>
      </c>
      <c r="C27" t="s">
        <v>53</v>
      </c>
      <c r="D27">
        <v>189761</v>
      </c>
      <c r="E27" s="2">
        <f t="shared" si="0"/>
        <v>7.5</v>
      </c>
      <c r="F27" t="s">
        <v>50</v>
      </c>
      <c r="G27" t="s">
        <v>50</v>
      </c>
      <c r="H27" t="s">
        <v>50</v>
      </c>
    </row>
    <row r="28" spans="1:8">
      <c r="A28" t="s">
        <v>34</v>
      </c>
      <c r="B28">
        <v>980</v>
      </c>
      <c r="C28" t="s">
        <v>52</v>
      </c>
      <c r="D28">
        <v>18309</v>
      </c>
      <c r="E28" s="2">
        <f t="shared" si="0"/>
        <v>9.1</v>
      </c>
      <c r="F28" t="s">
        <v>50</v>
      </c>
      <c r="G28" t="s">
        <v>50</v>
      </c>
      <c r="H28" t="s">
        <v>50</v>
      </c>
    </row>
    <row r="29" spans="1:8">
      <c r="A29" t="s">
        <v>35</v>
      </c>
      <c r="B29">
        <v>1795</v>
      </c>
      <c r="C29" t="s">
        <v>49</v>
      </c>
      <c r="D29">
        <v>47711</v>
      </c>
      <c r="E29" s="2">
        <f t="shared" si="0"/>
        <v>11.8</v>
      </c>
      <c r="F29" t="s">
        <v>50</v>
      </c>
      <c r="G29" t="s">
        <v>50</v>
      </c>
      <c r="H29" t="s">
        <v>50</v>
      </c>
    </row>
    <row r="30" spans="1:8">
      <c r="A30" t="s">
        <v>36</v>
      </c>
      <c r="B30">
        <v>2490</v>
      </c>
      <c r="C30" t="s">
        <v>52</v>
      </c>
      <c r="D30">
        <v>8683</v>
      </c>
      <c r="E30" s="2">
        <f t="shared" si="0"/>
        <v>11.8</v>
      </c>
      <c r="F30" t="s">
        <v>50</v>
      </c>
      <c r="G30" t="s">
        <v>50</v>
      </c>
      <c r="H30" t="s">
        <v>50</v>
      </c>
    </row>
    <row r="31" spans="1:8">
      <c r="A31" t="s">
        <v>37</v>
      </c>
      <c r="B31">
        <v>2995</v>
      </c>
      <c r="C31" t="s">
        <v>55</v>
      </c>
      <c r="D31">
        <v>87971</v>
      </c>
      <c r="E31" s="2">
        <f t="shared" si="0"/>
        <v>9.1</v>
      </c>
      <c r="F31" t="s">
        <v>50</v>
      </c>
      <c r="G31" t="s">
        <v>50</v>
      </c>
      <c r="H31" t="s">
        <v>50</v>
      </c>
    </row>
    <row r="32" spans="1:8">
      <c r="A32" t="s">
        <v>38</v>
      </c>
      <c r="B32">
        <v>1795</v>
      </c>
      <c r="C32" t="s">
        <v>54</v>
      </c>
      <c r="D32">
        <v>163940</v>
      </c>
      <c r="E32" s="2">
        <f t="shared" si="0"/>
        <v>9.1</v>
      </c>
      <c r="F32" t="s">
        <v>50</v>
      </c>
      <c r="G32" t="s">
        <v>50</v>
      </c>
      <c r="H32" t="s">
        <v>50</v>
      </c>
    </row>
    <row r="33" spans="1:8">
      <c r="A33" t="s">
        <v>39</v>
      </c>
      <c r="B33">
        <v>1795</v>
      </c>
      <c r="C33" t="s">
        <v>52</v>
      </c>
      <c r="D33">
        <v>14717</v>
      </c>
      <c r="E33" s="2">
        <f t="shared" si="0"/>
        <v>8.1999999999999993</v>
      </c>
      <c r="F33" t="s">
        <v>50</v>
      </c>
      <c r="G33" t="s">
        <v>50</v>
      </c>
      <c r="H33" t="s">
        <v>50</v>
      </c>
    </row>
    <row r="34" spans="1:8">
      <c r="A34" t="s">
        <v>40</v>
      </c>
      <c r="B34">
        <v>1195</v>
      </c>
      <c r="C34" t="s">
        <v>54</v>
      </c>
      <c r="D34">
        <v>359114</v>
      </c>
      <c r="E34" s="2">
        <f t="shared" si="0"/>
        <v>11.8</v>
      </c>
      <c r="F34" t="s">
        <v>50</v>
      </c>
      <c r="G34" t="s">
        <v>50</v>
      </c>
      <c r="H34" t="s">
        <v>50</v>
      </c>
    </row>
    <row r="35" spans="1:8">
      <c r="A35" t="s">
        <v>41</v>
      </c>
      <c r="B35">
        <v>2490</v>
      </c>
      <c r="C35" t="s">
        <v>55</v>
      </c>
      <c r="D35">
        <v>77590</v>
      </c>
      <c r="E35" s="2">
        <f t="shared" si="0"/>
        <v>9.1</v>
      </c>
      <c r="F35" t="s">
        <v>50</v>
      </c>
      <c r="G35" t="s">
        <v>50</v>
      </c>
      <c r="H35" t="s">
        <v>50</v>
      </c>
    </row>
    <row r="36" spans="1:8">
      <c r="A36" t="s">
        <v>42</v>
      </c>
      <c r="B36">
        <v>1599</v>
      </c>
      <c r="C36" t="s">
        <v>55</v>
      </c>
      <c r="D36">
        <v>130724</v>
      </c>
      <c r="E36" s="2">
        <f t="shared" si="0"/>
        <v>8.1999999999999993</v>
      </c>
      <c r="F36" t="s">
        <v>50</v>
      </c>
      <c r="G36" t="s">
        <v>50</v>
      </c>
      <c r="H36" t="s">
        <v>50</v>
      </c>
    </row>
    <row r="37" spans="1:8">
      <c r="A37" t="s">
        <v>43</v>
      </c>
      <c r="B37">
        <v>1195</v>
      </c>
      <c r="C37" t="s">
        <v>54</v>
      </c>
      <c r="D37">
        <v>139813</v>
      </c>
      <c r="E37" s="2">
        <f t="shared" si="0"/>
        <v>8.1999999999999993</v>
      </c>
      <c r="F37" t="s">
        <v>50</v>
      </c>
      <c r="G37" t="s">
        <v>50</v>
      </c>
      <c r="H37" t="s">
        <v>50</v>
      </c>
    </row>
    <row r="38" spans="1:8">
      <c r="A38" t="s">
        <v>44</v>
      </c>
      <c r="B38">
        <v>1249</v>
      </c>
      <c r="C38" t="s">
        <v>49</v>
      </c>
      <c r="D38">
        <v>73042</v>
      </c>
      <c r="E38" s="2">
        <f t="shared" si="0"/>
        <v>11.8</v>
      </c>
      <c r="F38" t="s">
        <v>50</v>
      </c>
      <c r="G38" t="s">
        <v>50</v>
      </c>
      <c r="H38" t="s">
        <v>50</v>
      </c>
    </row>
    <row r="39" spans="1:8">
      <c r="A39" t="s">
        <v>45</v>
      </c>
      <c r="B39">
        <v>2995</v>
      </c>
      <c r="C39" t="s">
        <v>55</v>
      </c>
      <c r="D39">
        <v>79236</v>
      </c>
      <c r="E39" s="2">
        <f t="shared" si="0"/>
        <v>11.8</v>
      </c>
      <c r="F39" t="s">
        <v>50</v>
      </c>
      <c r="G39" t="s">
        <v>50</v>
      </c>
      <c r="H39" t="s">
        <v>50</v>
      </c>
    </row>
    <row r="40" spans="1:8">
      <c r="A40" t="s">
        <v>50</v>
      </c>
      <c r="B40" t="s">
        <v>50</v>
      </c>
      <c r="C40" t="s">
        <v>50</v>
      </c>
      <c r="E40" t="s">
        <v>50</v>
      </c>
      <c r="F40" t="s">
        <v>50</v>
      </c>
      <c r="G40" t="s">
        <v>50</v>
      </c>
      <c r="H40" t="s">
        <v>50</v>
      </c>
    </row>
    <row r="41" spans="1:8">
      <c r="A41" t="s">
        <v>46</v>
      </c>
      <c r="B41">
        <f>MAX(B2:B39,D2:D39)</f>
        <v>359114</v>
      </c>
      <c r="C41" t="s">
        <v>47</v>
      </c>
      <c r="D41">
        <f>AVERAGE(D2:D39)</f>
        <v>115771.84210526316</v>
      </c>
      <c r="E41" t="s">
        <v>50</v>
      </c>
      <c r="F41" t="s">
        <v>50</v>
      </c>
      <c r="G41" t="s">
        <v>50</v>
      </c>
      <c r="H41" t="s">
        <v>50</v>
      </c>
    </row>
    <row r="42" spans="1:8">
      <c r="A42" t="s">
        <v>0</v>
      </c>
      <c r="B42" s="1" t="str">
        <f>INDEX(A2:A39,MATCH(B41,D2:D39,0))</f>
        <v>C-87</v>
      </c>
      <c r="C42" t="s">
        <v>50</v>
      </c>
      <c r="E42" t="s">
        <v>50</v>
      </c>
      <c r="F42" t="s">
        <v>50</v>
      </c>
      <c r="G42" t="s">
        <v>50</v>
      </c>
      <c r="H42" t="s">
        <v>50</v>
      </c>
    </row>
    <row r="43" spans="1:8">
      <c r="A43" t="s">
        <v>50</v>
      </c>
      <c r="B43" t="s">
        <v>50</v>
      </c>
      <c r="C43" t="s">
        <v>50</v>
      </c>
      <c r="E43" t="s">
        <v>50</v>
      </c>
      <c r="F43" t="s">
        <v>50</v>
      </c>
      <c r="G43" t="s">
        <v>50</v>
      </c>
      <c r="H43" t="s">
        <v>50</v>
      </c>
    </row>
    <row r="44" spans="1:8">
      <c r="A44" t="s">
        <v>2</v>
      </c>
      <c r="B44" t="s">
        <v>48</v>
      </c>
      <c r="C44" t="s">
        <v>50</v>
      </c>
      <c r="E44" t="s">
        <v>50</v>
      </c>
      <c r="F44" t="s">
        <v>50</v>
      </c>
      <c r="G44" t="s">
        <v>50</v>
      </c>
      <c r="H44" t="s">
        <v>50</v>
      </c>
    </row>
    <row r="45" spans="1:8">
      <c r="A45" t="s">
        <v>54</v>
      </c>
      <c r="B45" t="s">
        <v>50</v>
      </c>
      <c r="C45" t="s">
        <v>50</v>
      </c>
      <c r="E45" t="s">
        <v>50</v>
      </c>
      <c r="F45" t="s">
        <v>50</v>
      </c>
      <c r="G45" t="s">
        <v>50</v>
      </c>
      <c r="H45" t="s">
        <v>50</v>
      </c>
    </row>
    <row r="46" spans="1:8">
      <c r="A46" t="s">
        <v>56</v>
      </c>
      <c r="B46" t="s">
        <v>50</v>
      </c>
      <c r="C46" t="s">
        <v>50</v>
      </c>
      <c r="E46" t="s">
        <v>50</v>
      </c>
      <c r="F46" t="s">
        <v>50</v>
      </c>
      <c r="G46" t="s">
        <v>50</v>
      </c>
      <c r="H46" t="s">
        <v>50</v>
      </c>
    </row>
    <row r="47" spans="1:8">
      <c r="A47" t="s">
        <v>51</v>
      </c>
      <c r="B47" t="s">
        <v>50</v>
      </c>
      <c r="C47" t="s">
        <v>50</v>
      </c>
      <c r="E47" t="s">
        <v>50</v>
      </c>
      <c r="F47" t="s">
        <v>50</v>
      </c>
      <c r="G47" t="s">
        <v>50</v>
      </c>
      <c r="H47" t="s">
        <v>50</v>
      </c>
    </row>
    <row r="48" spans="1:8">
      <c r="A48" t="s">
        <v>53</v>
      </c>
      <c r="B48" t="s">
        <v>50</v>
      </c>
      <c r="C48" t="s">
        <v>50</v>
      </c>
      <c r="E48" t="s">
        <v>50</v>
      </c>
      <c r="F48" t="s">
        <v>50</v>
      </c>
      <c r="G48" t="s">
        <v>50</v>
      </c>
      <c r="H48" t="s">
        <v>50</v>
      </c>
    </row>
    <row r="49" spans="1:8">
      <c r="A49" t="s">
        <v>55</v>
      </c>
      <c r="B49" t="s">
        <v>50</v>
      </c>
      <c r="C49" t="s">
        <v>50</v>
      </c>
      <c r="E49" t="s">
        <v>50</v>
      </c>
      <c r="F49" t="s">
        <v>50</v>
      </c>
      <c r="G49" t="s">
        <v>50</v>
      </c>
      <c r="H49" t="s">
        <v>50</v>
      </c>
    </row>
    <row r="50" spans="1:8">
      <c r="A50" t="s">
        <v>49</v>
      </c>
      <c r="B50" t="s">
        <v>50</v>
      </c>
      <c r="C50" t="s">
        <v>50</v>
      </c>
      <c r="E50" t="s">
        <v>50</v>
      </c>
      <c r="F50" t="s">
        <v>50</v>
      </c>
      <c r="G50" t="s">
        <v>50</v>
      </c>
      <c r="H50" t="s">
        <v>50</v>
      </c>
    </row>
    <row r="51" spans="1:8">
      <c r="A51" t="s">
        <v>52</v>
      </c>
      <c r="B51" t="s">
        <v>50</v>
      </c>
      <c r="C51" t="s">
        <v>50</v>
      </c>
      <c r="E51" t="s">
        <v>50</v>
      </c>
      <c r="F51" t="s">
        <v>50</v>
      </c>
      <c r="G51" t="s">
        <v>50</v>
      </c>
      <c r="H51" t="s">
        <v>50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3281C-7405-4BAC-969E-39DD2BBA2D79}">
  <dimension ref="A1"/>
  <sheetViews>
    <sheetView zoomScale="40" zoomScaleNormal="40"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913CD9-A970-4C2F-8CA1-DE13E5DA65C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Munka2</vt:lpstr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Köteles Marcell</dc:creator>
  <cp:lastModifiedBy>Köteles Marcell</cp:lastModifiedBy>
  <dcterms:created xsi:type="dcterms:W3CDTF">2025-09-26T07:57:02Z</dcterms:created>
  <dcterms:modified xsi:type="dcterms:W3CDTF">2025-10-03T08:34:43Z</dcterms:modified>
</cp:coreProperties>
</file>